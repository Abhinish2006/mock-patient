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olumn Types" sheetId="2" state="visible" r:id="rId4"/>
    <sheet name="Data Quality" sheetId="3" state="visible" r:id="rId5"/>
    <sheet name="Cleaning Steps" sheetId="4" state="visible" r:id="rId6"/>
    <sheet name="Cleaned Data" sheetId="5" state="visible" r:id="rId7"/>
    <sheet name="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<sst xmlns="http://schemas.openxmlformats.org/spreadsheetml/2006/main" count="465" uniqueCount="98">
  <si>
    <t xml:space="preserve">Patient ID</t>
  </si>
  <si>
    <t xml:space="preserve">Age</t>
  </si>
  <si>
    <t xml:space="preserve">Gender</t>
  </si>
  <si>
    <t xml:space="preserve">Disease</t>
  </si>
  <si>
    <t xml:space="preserve">Medication</t>
  </si>
  <si>
    <t xml:space="preserve">Dosage (mg)</t>
  </si>
  <si>
    <t xml:space="preserve">Female</t>
  </si>
  <si>
    <t xml:space="preserve">Hypertension</t>
  </si>
  <si>
    <t xml:space="preserve">Amlodipine</t>
  </si>
  <si>
    <t xml:space="preserve">Male</t>
  </si>
  <si>
    <t xml:space="preserve">Asthma</t>
  </si>
  <si>
    <t xml:space="preserve">Salbutamol</t>
  </si>
  <si>
    <t xml:space="preserve">Allergy</t>
  </si>
  <si>
    <t xml:space="preserve">Cetirizine</t>
  </si>
  <si>
    <t xml:space="preserve"> female </t>
  </si>
  <si>
    <t xml:space="preserve">Flu</t>
  </si>
  <si>
    <t xml:space="preserve">Paracetamol</t>
  </si>
  <si>
    <t xml:space="preserve">Arthritis</t>
  </si>
  <si>
    <t xml:space="preserve">Ibuprofen</t>
  </si>
  <si>
    <t xml:space="preserve">MALE</t>
  </si>
  <si>
    <t xml:space="preserve">Diabetes</t>
  </si>
  <si>
    <t xml:space="preserve">Metformin</t>
  </si>
  <si>
    <t xml:space="preserve">F</t>
  </si>
  <si>
    <t xml:space="preserve">  flu</t>
  </si>
  <si>
    <t xml:space="preserve">DIABETES</t>
  </si>
  <si>
    <t xml:space="preserve">Migraine</t>
  </si>
  <si>
    <t xml:space="preserve">Sumatriptan</t>
  </si>
  <si>
    <t xml:space="preserve">paracetamol </t>
  </si>
  <si>
    <t xml:space="preserve">Infection</t>
  </si>
  <si>
    <t xml:space="preserve">Amoxicillin</t>
  </si>
  <si>
    <t xml:space="preserve">Identifying Column Types</t>
  </si>
  <si>
    <t xml:space="preserve">Column</t>
  </si>
  <si>
    <t xml:space="preserve">Type</t>
  </si>
  <si>
    <t xml:space="preserve">Data Kind</t>
  </si>
  <si>
    <t xml:space="preserve">Example</t>
  </si>
  <si>
    <t xml:space="preserve">Non-blank (raw)</t>
  </si>
  <si>
    <t xml:space="preserve">Unique values (raw)</t>
  </si>
  <si>
    <t xml:space="preserve">Identifier</t>
  </si>
  <si>
    <t xml:space="preserve">Numeric (unique key)</t>
  </si>
  <si>
    <t xml:space="preserve">Numerical</t>
  </si>
  <si>
    <t xml:space="preserve">Discrete, in years</t>
  </si>
  <si>
    <t xml:space="preserve">Categorical</t>
  </si>
  <si>
    <t xml:space="preserve">Nominal (Male/Female)</t>
  </si>
  <si>
    <t xml:space="preserve">Nominal</t>
  </si>
  <si>
    <t xml:space="preserve">Continuous, in mg</t>
  </si>
  <si>
    <t xml:space="preserve">Data Quality Check (on Raw Data)</t>
  </si>
  <si>
    <t xml:space="preserve">Check</t>
  </si>
  <si>
    <t xml:space="preserve">Result</t>
  </si>
  <si>
    <t xml:space="preserve">Total records</t>
  </si>
  <si>
    <t xml:space="preserve">Missing Age</t>
  </si>
  <si>
    <t xml:space="preserve">Missing Gender</t>
  </si>
  <si>
    <t xml:space="preserve">Missing Disease</t>
  </si>
  <si>
    <t xml:space="preserve">Missing Medication</t>
  </si>
  <si>
    <t xml:space="preserve">Missing Dosage</t>
  </si>
  <si>
    <t xml:space="preserve">Duplicate records (repeat Patient IDs)</t>
  </si>
  <si>
    <t xml:space="preserve">Invalid ages (&lt;0 or &gt;120)</t>
  </si>
  <si>
    <t xml:space="preserve">Also: Gender/Disease/Medication contain extra spaces and mixed case (e.g. ' female ', 'MALE', 'F', 'DIABETES').</t>
  </si>
  <si>
    <t xml:space="preserve">Cleaning Steps (how to do each in Excel)</t>
  </si>
  <si>
    <t xml:space="preserve">#</t>
  </si>
  <si>
    <t xml:space="preserve">Problem</t>
  </si>
  <si>
    <t xml:space="preserve">Fix</t>
  </si>
  <si>
    <t xml:space="preserve">Excel feature</t>
  </si>
  <si>
    <t xml:space="preserve">Duplicate rows</t>
  </si>
  <si>
    <t xml:space="preserve">Remove exact duplicate records</t>
  </si>
  <si>
    <t xml:space="preserve">Data &gt; Remove Duplicates (select all columns)</t>
  </si>
  <si>
    <t xml:space="preserve">Extra spaces / mixed case</t>
  </si>
  <si>
    <t xml:space="preserve">Trim spaces and use Proper case</t>
  </si>
  <si>
    <t xml:space="preserve">Use formula PROPER(TRIM(C2)), then Paste Special &gt; Values</t>
  </si>
  <si>
    <t xml:space="preserve">Gender 'F' / 'M'</t>
  </si>
  <si>
    <t xml:space="preserve">Replace with Female / Male</t>
  </si>
  <si>
    <t xml:space="preserve">Ctrl+H (Find &amp; Replace) - Match entire cell contents</t>
  </si>
  <si>
    <t xml:space="preserve">Impossible age (250)</t>
  </si>
  <si>
    <t xml:space="preserve">Treat as missing, then fill</t>
  </si>
  <si>
    <t xml:space="preserve">Filter Age &gt; 120</t>
  </si>
  <si>
    <t xml:space="preserve">Fill with median age = 48</t>
  </si>
  <si>
    <t xml:space="preserve">Use formula MEDIAN(range), then type it into blanks</t>
  </si>
  <si>
    <t xml:space="preserve">Fill with that medication's usual dose</t>
  </si>
  <si>
    <t xml:space="preserve">Filter blanks; copy dose from same Medication</t>
  </si>
  <si>
    <t xml:space="preserve">Missing Gender / Disease</t>
  </si>
  <si>
    <t xml:space="preserve">Delete the row (cannot be guessed)</t>
  </si>
  <si>
    <t xml:space="preserve">Filter blanks &gt; Delete Row</t>
  </si>
  <si>
    <t xml:space="preserve">Assumption: median age 48 was calculated from valid ages after removing duplicates.</t>
  </si>
  <si>
    <t xml:space="preserve">Basic Analysis (on Cleaned Data)</t>
  </si>
  <si>
    <t xml:space="preserve">Metric</t>
  </si>
  <si>
    <t xml:space="preserve">Value</t>
  </si>
  <si>
    <t xml:space="preserve">Total patients</t>
  </si>
  <si>
    <t xml:space="preserve">Average age</t>
  </si>
  <si>
    <t xml:space="preserve">Youngest patient</t>
  </si>
  <si>
    <t xml:space="preserve">Oldest patient</t>
  </si>
  <si>
    <t xml:space="preserve">Male patients</t>
  </si>
  <si>
    <t xml:space="preserve">Female patients</t>
  </si>
  <si>
    <t xml:space="preserve">Patient Count</t>
  </si>
  <si>
    <t xml:space="preserve">% of Patients</t>
  </si>
  <si>
    <t xml:space="preserve">Average Age</t>
  </si>
  <si>
    <t xml:space="preserve">Total</t>
  </si>
  <si>
    <t xml:space="preserve">Most common disease</t>
  </si>
  <si>
    <t xml:space="preserve">Patients</t>
  </si>
  <si>
    <t xml:space="preserve">Average Dosage (mg)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</si>
</sst>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Patients per Disease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Analysis!B12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Analysis!$A$13:$A$20</c:f>
              <c:strCache>
                <c:ptCount val="8"/>
                <c:pt idx="0">
                  <c:v>Hypertension</c:v>
                </c:pt>
                <c:pt idx="1">
                  <c:v>Arthritis</c:v>
                </c:pt>
                <c:pt idx="2">
                  <c:v>Diabetes</c:v>
                </c:pt>
                <c:pt idx="3">
                  <c:v>Asthma</c:v>
                </c:pt>
                <c:pt idx="4">
                  <c:v>Allergy</c:v>
                </c:pt>
                <c:pt idx="5">
                  <c:v>Flu</c:v>
                </c:pt>
                <c:pt idx="6">
                  <c:v>Migraine</c:v>
                </c:pt>
                <c:pt idx="7">
                  <c:v>Infection</c:v>
                </c:pt>
              </c:strCache>
            </c:strRef>
          </c:cat>
          <c:val>
            <c:numRef>
              <c:f>Analysis!$B$13:$B$20</c:f>
              <c:numCache>
                <c:formatCode>General</c:formatCode>
                <c:ptCount val="8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5801062"/>
        <c:axId val="73175803"/>
      </c:barChart>
      <c:catAx>
        <c:axId val="5801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Disease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75803"/>
        <c:crosses val="autoZero"/>
        <c:auto val="1"/>
        <c:lblAlgn val="ctr"/>
        <c:lblOffset val="100"/>
        <c:noMultiLvlLbl val="0"/>
      </c:catAx>
      <c:valAx>
        <c:axId val="731758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1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540432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n">
        <v>8</v>
      </c>
      <c r="C2" s="2" t="s">
        <v>6</v>
      </c>
      <c r="D2" s="2" t="s">
        <v>7</v>
      </c>
      <c r="E2" s="2" t="s">
        <v>8</v>
      </c>
      <c r="F2" s="2" t="n">
        <v>5</v>
      </c>
    </row>
    <row r="3" customFormat="false" ht="15" hidden="false" customHeight="false" outlineLevel="0" collapsed="false">
      <c r="A3" s="2" t="n">
        <v>2</v>
      </c>
      <c r="B3" s="2" t="n">
        <v>33</v>
      </c>
      <c r="C3" s="2" t="s">
        <v>9</v>
      </c>
      <c r="D3" s="2" t="s">
        <v>10</v>
      </c>
      <c r="E3" s="2" t="s">
        <v>11</v>
      </c>
      <c r="F3" s="2" t="n">
        <v>100</v>
      </c>
    </row>
    <row r="4" customFormat="false" ht="15" hidden="false" customHeight="false" outlineLevel="0" collapsed="false">
      <c r="A4" s="2" t="n">
        <v>3</v>
      </c>
      <c r="B4" s="2" t="n">
        <v>74</v>
      </c>
      <c r="C4" s="2" t="s">
        <v>9</v>
      </c>
      <c r="D4" s="2" t="s">
        <v>7</v>
      </c>
      <c r="E4" s="2" t="s">
        <v>8</v>
      </c>
      <c r="F4" s="2" t="n">
        <v>5</v>
      </c>
    </row>
    <row r="5" customFormat="false" ht="15" hidden="false" customHeight="false" outlineLevel="0" collapsed="false">
      <c r="A5" s="2" t="n">
        <v>4</v>
      </c>
      <c r="B5" s="2" t="n">
        <v>9</v>
      </c>
      <c r="C5" s="2" t="s">
        <v>9</v>
      </c>
      <c r="D5" s="2" t="s">
        <v>12</v>
      </c>
      <c r="E5" s="2" t="s">
        <v>13</v>
      </c>
      <c r="F5" s="2" t="n">
        <v>10</v>
      </c>
    </row>
    <row r="6" customFormat="false" ht="15" hidden="false" customHeight="false" outlineLevel="0" collapsed="false">
      <c r="A6" s="2" t="n">
        <v>5</v>
      </c>
      <c r="B6" s="2"/>
      <c r="C6" s="2" t="s">
        <v>9</v>
      </c>
      <c r="D6" s="2" t="s">
        <v>7</v>
      </c>
      <c r="E6" s="2" t="s">
        <v>8</v>
      </c>
      <c r="F6" s="2" t="n">
        <v>5</v>
      </c>
    </row>
    <row r="7" customFormat="false" ht="15" hidden="false" customHeight="false" outlineLevel="0" collapsed="false">
      <c r="A7" s="2" t="n">
        <v>6</v>
      </c>
      <c r="B7" s="2" t="n">
        <v>76</v>
      </c>
      <c r="C7" s="2" t="s">
        <v>14</v>
      </c>
      <c r="D7" s="2" t="s">
        <v>15</v>
      </c>
      <c r="E7" s="2" t="s">
        <v>16</v>
      </c>
      <c r="F7" s="2" t="n">
        <v>500</v>
      </c>
    </row>
    <row r="8" customFormat="false" ht="15" hidden="false" customHeight="false" outlineLevel="0" collapsed="false">
      <c r="A8" s="2" t="n">
        <v>7</v>
      </c>
      <c r="B8" s="2" t="n">
        <v>33</v>
      </c>
      <c r="C8" s="2" t="s">
        <v>6</v>
      </c>
      <c r="D8" s="2" t="s">
        <v>12</v>
      </c>
      <c r="E8" s="2" t="s">
        <v>13</v>
      </c>
      <c r="F8" s="2" t="n">
        <v>10</v>
      </c>
    </row>
    <row r="9" customFormat="false" ht="15" hidden="false" customHeight="false" outlineLevel="0" collapsed="false">
      <c r="A9" s="2" t="n">
        <v>8</v>
      </c>
      <c r="B9" s="2" t="n">
        <v>5</v>
      </c>
      <c r="C9" s="2" t="s">
        <v>9</v>
      </c>
      <c r="D9" s="2" t="s">
        <v>17</v>
      </c>
      <c r="E9" s="2" t="s">
        <v>18</v>
      </c>
      <c r="F9" s="2" t="n">
        <v>400</v>
      </c>
    </row>
    <row r="10" customFormat="false" ht="15" hidden="false" customHeight="false" outlineLevel="0" collapsed="false">
      <c r="A10" s="2" t="n">
        <v>9</v>
      </c>
      <c r="B10" s="2" t="n">
        <v>48</v>
      </c>
      <c r="C10" s="2" t="s">
        <v>6</v>
      </c>
      <c r="D10" s="2"/>
      <c r="E10" s="2" t="s">
        <v>13</v>
      </c>
      <c r="F10" s="2" t="n">
        <v>10</v>
      </c>
    </row>
    <row r="11" customFormat="false" ht="15" hidden="false" customHeight="false" outlineLevel="0" collapsed="false">
      <c r="A11" s="2" t="n">
        <v>10</v>
      </c>
      <c r="B11" s="2" t="n">
        <v>32</v>
      </c>
      <c r="C11" s="2" t="s">
        <v>19</v>
      </c>
      <c r="D11" s="2" t="s">
        <v>20</v>
      </c>
      <c r="E11" s="2" t="s">
        <v>21</v>
      </c>
      <c r="F11" s="2" t="n">
        <v>500</v>
      </c>
    </row>
    <row r="12" customFormat="false" ht="15" hidden="false" customHeight="false" outlineLevel="0" collapsed="false">
      <c r="A12" s="2" t="n">
        <v>11</v>
      </c>
      <c r="B12" s="2" t="n">
        <v>16</v>
      </c>
      <c r="C12" s="2" t="s">
        <v>6</v>
      </c>
      <c r="D12" s="2" t="s">
        <v>7</v>
      </c>
      <c r="E12" s="2" t="s">
        <v>8</v>
      </c>
      <c r="F12" s="2" t="n">
        <v>5</v>
      </c>
    </row>
    <row r="13" customFormat="false" ht="15" hidden="false" customHeight="false" outlineLevel="0" collapsed="false">
      <c r="A13" s="2" t="n">
        <v>12</v>
      </c>
      <c r="B13" s="2" t="n">
        <v>50</v>
      </c>
      <c r="C13" s="2" t="s">
        <v>6</v>
      </c>
      <c r="D13" s="2" t="s">
        <v>7</v>
      </c>
      <c r="E13" s="2" t="s">
        <v>8</v>
      </c>
      <c r="F13" s="2" t="n">
        <v>5</v>
      </c>
    </row>
    <row r="14" customFormat="false" ht="15" hidden="false" customHeight="false" outlineLevel="0" collapsed="false">
      <c r="A14" s="2" t="n">
        <v>13</v>
      </c>
      <c r="B14" s="2" t="n">
        <v>10</v>
      </c>
      <c r="C14" s="2" t="s">
        <v>22</v>
      </c>
      <c r="D14" s="2" t="s">
        <v>17</v>
      </c>
      <c r="E14" s="2" t="s">
        <v>18</v>
      </c>
      <c r="F14" s="2" t="n">
        <v>400</v>
      </c>
    </row>
    <row r="15" customFormat="false" ht="15" hidden="false" customHeight="false" outlineLevel="0" collapsed="false">
      <c r="A15" s="2" t="n">
        <v>14</v>
      </c>
      <c r="B15" s="2" t="n">
        <v>53</v>
      </c>
      <c r="C15" s="2" t="s">
        <v>9</v>
      </c>
      <c r="D15" s="2" t="s">
        <v>7</v>
      </c>
      <c r="E15" s="2" t="s">
        <v>8</v>
      </c>
      <c r="F15" s="2"/>
    </row>
    <row r="16" customFormat="false" ht="15" hidden="false" customHeight="false" outlineLevel="0" collapsed="false">
      <c r="A16" s="2" t="n">
        <v>15</v>
      </c>
      <c r="B16" s="2" t="n">
        <v>85</v>
      </c>
      <c r="C16" s="2" t="s">
        <v>6</v>
      </c>
      <c r="D16" s="2" t="s">
        <v>17</v>
      </c>
      <c r="E16" s="2" t="s">
        <v>18</v>
      </c>
      <c r="F16" s="2" t="n">
        <v>400</v>
      </c>
    </row>
    <row r="17" customFormat="false" ht="15" hidden="false" customHeight="false" outlineLevel="0" collapsed="false">
      <c r="A17" s="2" t="n">
        <v>16</v>
      </c>
      <c r="B17" s="2" t="n">
        <v>13</v>
      </c>
      <c r="C17" s="2"/>
      <c r="D17" s="2" t="s">
        <v>23</v>
      </c>
      <c r="E17" s="2" t="s">
        <v>11</v>
      </c>
      <c r="F17" s="2" t="n">
        <v>100</v>
      </c>
    </row>
    <row r="18" customFormat="false" ht="15" hidden="false" customHeight="false" outlineLevel="0" collapsed="false">
      <c r="A18" s="2" t="n">
        <v>17</v>
      </c>
      <c r="B18" s="2" t="n">
        <v>42</v>
      </c>
      <c r="C18" s="2" t="s">
        <v>9</v>
      </c>
      <c r="D18" s="2" t="s">
        <v>10</v>
      </c>
      <c r="E18" s="2" t="s">
        <v>11</v>
      </c>
      <c r="F18" s="2" t="n">
        <v>100</v>
      </c>
    </row>
    <row r="19" customFormat="false" ht="15" hidden="false" customHeight="false" outlineLevel="0" collapsed="false">
      <c r="A19" s="2" t="n">
        <v>18</v>
      </c>
      <c r="B19" s="2" t="n">
        <v>17</v>
      </c>
      <c r="C19" s="2"/>
      <c r="D19" s="2" t="s">
        <v>10</v>
      </c>
      <c r="E19" s="2" t="s">
        <v>11</v>
      </c>
      <c r="F19" s="2" t="n">
        <v>100</v>
      </c>
    </row>
    <row r="20" customFormat="false" ht="15" hidden="false" customHeight="false" outlineLevel="0" collapsed="false">
      <c r="A20" s="2" t="n">
        <v>19</v>
      </c>
      <c r="B20" s="2" t="n">
        <v>63</v>
      </c>
      <c r="C20" s="2" t="s">
        <v>6</v>
      </c>
      <c r="D20" s="2" t="s">
        <v>17</v>
      </c>
      <c r="E20" s="2" t="s">
        <v>18</v>
      </c>
      <c r="F20" s="2" t="n">
        <v>400</v>
      </c>
    </row>
    <row r="21" customFormat="false" ht="15" hidden="false" customHeight="false" outlineLevel="0" collapsed="false">
      <c r="A21" s="2" t="n">
        <v>20</v>
      </c>
      <c r="B21" s="2" t="n">
        <v>52</v>
      </c>
      <c r="C21" s="2" t="s">
        <v>6</v>
      </c>
      <c r="D21" s="2" t="s">
        <v>20</v>
      </c>
      <c r="E21" s="2" t="s">
        <v>21</v>
      </c>
      <c r="F21" s="2" t="n">
        <v>500</v>
      </c>
    </row>
    <row r="22" customFormat="false" ht="15" hidden="false" customHeight="false" outlineLevel="0" collapsed="false">
      <c r="A22" s="2" t="n">
        <v>21</v>
      </c>
      <c r="B22" s="2" t="n">
        <v>39</v>
      </c>
      <c r="C22" s="2" t="s">
        <v>9</v>
      </c>
      <c r="D22" s="2" t="s">
        <v>24</v>
      </c>
      <c r="E22" s="2" t="s">
        <v>11</v>
      </c>
      <c r="F22" s="2" t="n">
        <v>100</v>
      </c>
    </row>
    <row r="23" customFormat="false" ht="15" hidden="false" customHeight="false" outlineLevel="0" collapsed="false">
      <c r="A23" s="2" t="n">
        <v>22</v>
      </c>
      <c r="B23" s="2"/>
      <c r="C23" s="2" t="s">
        <v>9</v>
      </c>
      <c r="D23" s="2" t="s">
        <v>20</v>
      </c>
      <c r="E23" s="2" t="s">
        <v>21</v>
      </c>
      <c r="F23" s="2" t="n">
        <v>500</v>
      </c>
    </row>
    <row r="24" customFormat="false" ht="15" hidden="false" customHeight="false" outlineLevel="0" collapsed="false">
      <c r="A24" s="2" t="n">
        <v>23</v>
      </c>
      <c r="B24" s="2" t="n">
        <v>64</v>
      </c>
      <c r="C24" s="2" t="s">
        <v>6</v>
      </c>
      <c r="D24" s="2" t="s">
        <v>20</v>
      </c>
      <c r="E24" s="2" t="s">
        <v>21</v>
      </c>
      <c r="F24" s="2" t="n">
        <v>500</v>
      </c>
    </row>
    <row r="25" customFormat="false" ht="15" hidden="false" customHeight="false" outlineLevel="0" collapsed="false">
      <c r="A25" s="2" t="n">
        <v>24</v>
      </c>
      <c r="B25" s="2" t="n">
        <v>76</v>
      </c>
      <c r="C25" s="2" t="s">
        <v>9</v>
      </c>
      <c r="D25" s="2" t="s">
        <v>17</v>
      </c>
      <c r="E25" s="2" t="s">
        <v>18</v>
      </c>
      <c r="F25" s="2" t="n">
        <v>400</v>
      </c>
    </row>
    <row r="26" customFormat="false" ht="15" hidden="false" customHeight="false" outlineLevel="0" collapsed="false">
      <c r="A26" s="2" t="n">
        <v>25</v>
      </c>
      <c r="B26" s="2" t="n">
        <v>12</v>
      </c>
      <c r="C26" s="2" t="s">
        <v>9</v>
      </c>
      <c r="D26" s="2" t="s">
        <v>25</v>
      </c>
      <c r="E26" s="2" t="s">
        <v>26</v>
      </c>
      <c r="F26" s="2" t="n">
        <v>50</v>
      </c>
    </row>
    <row r="27" customFormat="false" ht="15" hidden="false" customHeight="false" outlineLevel="0" collapsed="false">
      <c r="A27" s="2" t="n">
        <v>26</v>
      </c>
      <c r="B27" s="2" t="n">
        <v>45</v>
      </c>
      <c r="C27" s="2" t="s">
        <v>6</v>
      </c>
      <c r="D27" s="2" t="s">
        <v>15</v>
      </c>
      <c r="E27" s="2" t="s">
        <v>27</v>
      </c>
      <c r="F27" s="2" t="n">
        <v>500</v>
      </c>
    </row>
    <row r="28" customFormat="false" ht="15" hidden="false" customHeight="false" outlineLevel="0" collapsed="false">
      <c r="A28" s="2" t="n">
        <v>27</v>
      </c>
      <c r="B28" s="2" t="n">
        <v>13</v>
      </c>
      <c r="C28" s="2" t="s">
        <v>9</v>
      </c>
      <c r="D28" s="2" t="s">
        <v>17</v>
      </c>
      <c r="E28" s="2" t="s">
        <v>18</v>
      </c>
      <c r="F28" s="2" t="n">
        <v>400</v>
      </c>
    </row>
    <row r="29" customFormat="false" ht="15" hidden="false" customHeight="false" outlineLevel="0" collapsed="false">
      <c r="A29" s="2" t="n">
        <v>28</v>
      </c>
      <c r="B29" s="2" t="n">
        <v>32</v>
      </c>
      <c r="C29" s="2" t="s">
        <v>6</v>
      </c>
      <c r="D29" s="2" t="s">
        <v>25</v>
      </c>
      <c r="E29" s="2" t="s">
        <v>26</v>
      </c>
      <c r="F29" s="2" t="n">
        <v>50</v>
      </c>
    </row>
    <row r="30" customFormat="false" ht="15" hidden="false" customHeight="false" outlineLevel="0" collapsed="false">
      <c r="A30" s="2" t="n">
        <v>29</v>
      </c>
      <c r="B30" s="2" t="n">
        <v>63</v>
      </c>
      <c r="C30" s="2" t="s">
        <v>9</v>
      </c>
      <c r="D30" s="2" t="s">
        <v>12</v>
      </c>
      <c r="E30" s="2" t="s">
        <v>13</v>
      </c>
      <c r="F30" s="2" t="n">
        <v>10</v>
      </c>
    </row>
    <row r="31" customFormat="false" ht="15" hidden="false" customHeight="false" outlineLevel="0" collapsed="false">
      <c r="A31" s="2" t="n">
        <v>30</v>
      </c>
      <c r="B31" s="2" t="n">
        <v>22</v>
      </c>
      <c r="C31" s="2" t="s">
        <v>9</v>
      </c>
      <c r="D31" s="2" t="s">
        <v>17</v>
      </c>
      <c r="E31" s="2" t="s">
        <v>18</v>
      </c>
      <c r="F31" s="2" t="n">
        <v>400</v>
      </c>
    </row>
    <row r="32" customFormat="false" ht="15" hidden="false" customHeight="false" outlineLevel="0" collapsed="false">
      <c r="A32" s="2" t="n">
        <v>31</v>
      </c>
      <c r="B32" s="2" t="n">
        <v>250</v>
      </c>
      <c r="C32" s="2" t="s">
        <v>6</v>
      </c>
      <c r="D32" s="2" t="s">
        <v>17</v>
      </c>
      <c r="E32" s="2" t="s">
        <v>18</v>
      </c>
      <c r="F32" s="2" t="n">
        <v>400</v>
      </c>
    </row>
    <row r="33" customFormat="false" ht="15" hidden="false" customHeight="false" outlineLevel="0" collapsed="false">
      <c r="A33" s="2" t="n">
        <v>32</v>
      </c>
      <c r="B33" s="2" t="n">
        <v>51</v>
      </c>
      <c r="C33" s="2" t="s">
        <v>9</v>
      </c>
      <c r="D33" s="2" t="s">
        <v>12</v>
      </c>
      <c r="E33" s="2" t="s">
        <v>13</v>
      </c>
      <c r="F33" s="2"/>
    </row>
    <row r="34" customFormat="false" ht="15" hidden="false" customHeight="false" outlineLevel="0" collapsed="false">
      <c r="A34" s="2" t="n">
        <v>33</v>
      </c>
      <c r="B34" s="2"/>
      <c r="C34" s="2" t="s">
        <v>6</v>
      </c>
      <c r="D34" s="2" t="s">
        <v>20</v>
      </c>
      <c r="E34" s="2" t="s">
        <v>21</v>
      </c>
      <c r="F34" s="2" t="n">
        <v>500</v>
      </c>
    </row>
    <row r="35" customFormat="false" ht="15" hidden="false" customHeight="false" outlineLevel="0" collapsed="false">
      <c r="A35" s="2" t="n">
        <v>34</v>
      </c>
      <c r="B35" s="2" t="n">
        <v>11</v>
      </c>
      <c r="C35" s="2" t="s">
        <v>9</v>
      </c>
      <c r="D35" s="2" t="s">
        <v>7</v>
      </c>
      <c r="E35" s="2" t="s">
        <v>8</v>
      </c>
      <c r="F35" s="2" t="n">
        <v>5</v>
      </c>
    </row>
    <row r="36" customFormat="false" ht="15" hidden="false" customHeight="false" outlineLevel="0" collapsed="false">
      <c r="A36" s="2" t="n">
        <v>35</v>
      </c>
      <c r="B36" s="2" t="n">
        <v>85</v>
      </c>
      <c r="C36" s="2" t="s">
        <v>9</v>
      </c>
      <c r="D36" s="2" t="s">
        <v>20</v>
      </c>
      <c r="E36" s="2" t="s">
        <v>21</v>
      </c>
      <c r="F36" s="2"/>
    </row>
    <row r="37" customFormat="false" ht="15" hidden="false" customHeight="false" outlineLevel="0" collapsed="false">
      <c r="A37" s="2" t="n">
        <v>36</v>
      </c>
      <c r="B37" s="2" t="n">
        <v>81</v>
      </c>
      <c r="C37" s="2" t="s">
        <v>9</v>
      </c>
      <c r="D37" s="2" t="s">
        <v>12</v>
      </c>
      <c r="E37" s="2" t="s">
        <v>13</v>
      </c>
      <c r="F37" s="2" t="n">
        <v>10</v>
      </c>
    </row>
    <row r="38" customFormat="false" ht="15" hidden="false" customHeight="false" outlineLevel="0" collapsed="false">
      <c r="A38" s="2" t="n">
        <v>37</v>
      </c>
      <c r="B38" s="2" t="n">
        <v>53</v>
      </c>
      <c r="C38" s="2" t="s">
        <v>6</v>
      </c>
      <c r="D38" s="2" t="s">
        <v>12</v>
      </c>
      <c r="E38" s="2" t="s">
        <v>13</v>
      </c>
      <c r="F38" s="2" t="n">
        <v>10</v>
      </c>
    </row>
    <row r="39" customFormat="false" ht="15" hidden="false" customHeight="false" outlineLevel="0" collapsed="false">
      <c r="A39" s="2" t="n">
        <v>38</v>
      </c>
      <c r="B39" s="2" t="n">
        <v>75</v>
      </c>
      <c r="C39" s="2" t="s">
        <v>9</v>
      </c>
      <c r="D39" s="2" t="s">
        <v>17</v>
      </c>
      <c r="E39" s="2" t="s">
        <v>18</v>
      </c>
      <c r="F39" s="2" t="n">
        <v>400</v>
      </c>
    </row>
    <row r="40" customFormat="false" ht="15" hidden="false" customHeight="false" outlineLevel="0" collapsed="false">
      <c r="A40" s="2" t="n">
        <v>39</v>
      </c>
      <c r="B40" s="2" t="n">
        <v>73</v>
      </c>
      <c r="C40" s="2" t="s">
        <v>6</v>
      </c>
      <c r="D40" s="2" t="s">
        <v>7</v>
      </c>
      <c r="E40" s="2" t="s">
        <v>8</v>
      </c>
      <c r="F40" s="2" t="n">
        <v>5</v>
      </c>
    </row>
    <row r="41" customFormat="false" ht="15" hidden="false" customHeight="false" outlineLevel="0" collapsed="false">
      <c r="A41" s="2" t="n">
        <v>40</v>
      </c>
      <c r="B41" s="2" t="n">
        <v>19</v>
      </c>
      <c r="C41" s="2" t="s">
        <v>6</v>
      </c>
      <c r="D41" s="2" t="s">
        <v>25</v>
      </c>
      <c r="E41" s="2" t="s">
        <v>26</v>
      </c>
      <c r="F41" s="2" t="n">
        <v>50</v>
      </c>
    </row>
    <row r="42" customFormat="false" ht="15" hidden="false" customHeight="false" outlineLevel="0" collapsed="false">
      <c r="A42" s="2" t="n">
        <v>41</v>
      </c>
      <c r="B42" s="2" t="n">
        <v>25</v>
      </c>
      <c r="C42" s="2" t="s">
        <v>6</v>
      </c>
      <c r="D42" s="2" t="s">
        <v>12</v>
      </c>
      <c r="E42" s="2" t="s">
        <v>13</v>
      </c>
      <c r="F42" s="2" t="n">
        <v>10</v>
      </c>
    </row>
    <row r="43" customFormat="false" ht="15" hidden="false" customHeight="false" outlineLevel="0" collapsed="false">
      <c r="A43" s="2" t="n">
        <v>42</v>
      </c>
      <c r="B43" s="2" t="n">
        <v>38</v>
      </c>
      <c r="C43" s="2" t="s">
        <v>9</v>
      </c>
      <c r="D43" s="2" t="s">
        <v>15</v>
      </c>
      <c r="E43" s="2" t="s">
        <v>16</v>
      </c>
      <c r="F43" s="2" t="n">
        <v>500</v>
      </c>
    </row>
    <row r="44" customFormat="false" ht="15" hidden="false" customHeight="false" outlineLevel="0" collapsed="false">
      <c r="A44" s="2" t="n">
        <v>43</v>
      </c>
      <c r="B44" s="2" t="n">
        <v>85</v>
      </c>
      <c r="C44" s="2"/>
      <c r="D44" s="2" t="s">
        <v>7</v>
      </c>
      <c r="E44" s="2" t="s">
        <v>8</v>
      </c>
      <c r="F44" s="2" t="n">
        <v>5</v>
      </c>
    </row>
    <row r="45" customFormat="false" ht="15" hidden="false" customHeight="false" outlineLevel="0" collapsed="false">
      <c r="A45" s="2" t="n">
        <v>44</v>
      </c>
      <c r="B45" s="2" t="n">
        <v>24</v>
      </c>
      <c r="C45" s="2" t="s">
        <v>6</v>
      </c>
      <c r="D45" s="2" t="s">
        <v>10</v>
      </c>
      <c r="E45" s="2" t="s">
        <v>11</v>
      </c>
      <c r="F45" s="2" t="n">
        <v>100</v>
      </c>
    </row>
    <row r="46" customFormat="false" ht="15" hidden="false" customHeight="false" outlineLevel="0" collapsed="false">
      <c r="A46" s="2" t="n">
        <v>45</v>
      </c>
      <c r="B46" s="2" t="n">
        <v>74</v>
      </c>
      <c r="C46" s="2" t="s">
        <v>9</v>
      </c>
      <c r="D46" s="2" t="s">
        <v>20</v>
      </c>
      <c r="E46" s="2" t="s">
        <v>21</v>
      </c>
      <c r="F46" s="2" t="n">
        <v>500</v>
      </c>
    </row>
    <row r="47" customFormat="false" ht="15" hidden="false" customHeight="false" outlineLevel="0" collapsed="false">
      <c r="A47" s="2" t="n">
        <v>46</v>
      </c>
      <c r="B47" s="2" t="n">
        <v>67</v>
      </c>
      <c r="C47" s="2" t="s">
        <v>9</v>
      </c>
      <c r="D47" s="2" t="s">
        <v>25</v>
      </c>
      <c r="E47" s="2" t="s">
        <v>26</v>
      </c>
      <c r="F47" s="2" t="n">
        <v>50</v>
      </c>
    </row>
    <row r="48" customFormat="false" ht="15" hidden="false" customHeight="false" outlineLevel="0" collapsed="false">
      <c r="A48" s="2" t="n">
        <v>47</v>
      </c>
      <c r="B48" s="2" t="n">
        <v>51</v>
      </c>
      <c r="C48" s="2" t="s">
        <v>6</v>
      </c>
      <c r="D48" s="2"/>
      <c r="E48" s="2" t="s">
        <v>8</v>
      </c>
      <c r="F48" s="2" t="n">
        <v>5</v>
      </c>
    </row>
    <row r="49" customFormat="false" ht="15" hidden="false" customHeight="false" outlineLevel="0" collapsed="false">
      <c r="A49" s="2" t="n">
        <v>48</v>
      </c>
      <c r="B49" s="2" t="n">
        <v>12</v>
      </c>
      <c r="C49" s="2" t="s">
        <v>9</v>
      </c>
      <c r="D49" s="2" t="s">
        <v>10</v>
      </c>
      <c r="E49" s="2" t="s">
        <v>11</v>
      </c>
      <c r="F49" s="2" t="n">
        <v>100</v>
      </c>
    </row>
    <row r="50" customFormat="false" ht="15" hidden="false" customHeight="false" outlineLevel="0" collapsed="false">
      <c r="A50" s="2" t="n">
        <v>49</v>
      </c>
      <c r="B50" s="2" t="n">
        <v>15</v>
      </c>
      <c r="C50" s="2" t="s">
        <v>6</v>
      </c>
      <c r="D50" s="2" t="s">
        <v>7</v>
      </c>
      <c r="E50" s="2" t="s">
        <v>8</v>
      </c>
      <c r="F50" s="2" t="n">
        <v>5</v>
      </c>
    </row>
    <row r="51" customFormat="false" ht="15" hidden="false" customHeight="false" outlineLevel="0" collapsed="false">
      <c r="A51" s="2" t="n">
        <v>50</v>
      </c>
      <c r="B51" s="2" t="n">
        <v>73</v>
      </c>
      <c r="C51" s="2" t="s">
        <v>9</v>
      </c>
      <c r="D51" s="2" t="s">
        <v>7</v>
      </c>
      <c r="E51" s="2" t="s">
        <v>8</v>
      </c>
      <c r="F51" s="2" t="n">
        <v>5</v>
      </c>
    </row>
    <row r="52" customFormat="false" ht="15" hidden="false" customHeight="false" outlineLevel="0" collapsed="false">
      <c r="A52" s="2" t="n">
        <v>51</v>
      </c>
      <c r="B52" s="2" t="n">
        <v>65</v>
      </c>
      <c r="C52" s="2" t="s">
        <v>9</v>
      </c>
      <c r="D52" s="2" t="s">
        <v>20</v>
      </c>
      <c r="E52" s="2" t="s">
        <v>21</v>
      </c>
      <c r="F52" s="2" t="n">
        <v>500</v>
      </c>
    </row>
    <row r="53" customFormat="false" ht="15" hidden="false" customHeight="false" outlineLevel="0" collapsed="false">
      <c r="A53" s="2" t="n">
        <v>52</v>
      </c>
      <c r="B53" s="2" t="n">
        <v>72</v>
      </c>
      <c r="C53" s="2" t="s">
        <v>6</v>
      </c>
      <c r="D53" s="2" t="s">
        <v>17</v>
      </c>
      <c r="E53" s="2" t="s">
        <v>18</v>
      </c>
      <c r="F53" s="2" t="n">
        <v>400</v>
      </c>
    </row>
    <row r="54" customFormat="false" ht="15" hidden="false" customHeight="false" outlineLevel="0" collapsed="false">
      <c r="A54" s="2" t="n">
        <v>53</v>
      </c>
      <c r="B54" s="2" t="n">
        <v>74</v>
      </c>
      <c r="C54" s="2" t="s">
        <v>9</v>
      </c>
      <c r="D54" s="2" t="s">
        <v>10</v>
      </c>
      <c r="E54" s="2" t="s">
        <v>11</v>
      </c>
      <c r="F54" s="2" t="n">
        <v>100</v>
      </c>
    </row>
    <row r="55" customFormat="false" ht="15" hidden="false" customHeight="false" outlineLevel="0" collapsed="false">
      <c r="A55" s="2" t="n">
        <v>54</v>
      </c>
      <c r="B55" s="2" t="n">
        <v>56</v>
      </c>
      <c r="C55" s="2" t="s">
        <v>6</v>
      </c>
      <c r="D55" s="2" t="s">
        <v>17</v>
      </c>
      <c r="E55" s="2" t="s">
        <v>18</v>
      </c>
      <c r="F55" s="2" t="n">
        <v>400</v>
      </c>
    </row>
    <row r="56" customFormat="false" ht="15" hidden="false" customHeight="false" outlineLevel="0" collapsed="false">
      <c r="A56" s="2" t="n">
        <v>55</v>
      </c>
      <c r="B56" s="2" t="n">
        <v>71</v>
      </c>
      <c r="C56" s="2" t="s">
        <v>6</v>
      </c>
      <c r="D56" s="2" t="s">
        <v>28</v>
      </c>
      <c r="E56" s="2" t="s">
        <v>29</v>
      </c>
      <c r="F56" s="2" t="n">
        <v>500</v>
      </c>
    </row>
    <row r="57" customFormat="false" ht="15" hidden="false" customHeight="false" outlineLevel="0" collapsed="false">
      <c r="A57" s="2" t="n">
        <v>56</v>
      </c>
      <c r="B57" s="2"/>
      <c r="C57" s="2" t="s">
        <v>9</v>
      </c>
      <c r="D57" s="2" t="s">
        <v>7</v>
      </c>
      <c r="E57" s="2" t="s">
        <v>8</v>
      </c>
      <c r="F57" s="2" t="n">
        <v>5</v>
      </c>
    </row>
    <row r="58" customFormat="false" ht="15" hidden="false" customHeight="false" outlineLevel="0" collapsed="false">
      <c r="A58" s="2" t="n">
        <v>57</v>
      </c>
      <c r="B58" s="2" t="n">
        <v>48</v>
      </c>
      <c r="C58" s="2" t="s">
        <v>9</v>
      </c>
      <c r="D58" s="2" t="s">
        <v>7</v>
      </c>
      <c r="E58" s="2" t="s">
        <v>8</v>
      </c>
      <c r="F58" s="2" t="n">
        <v>5</v>
      </c>
    </row>
    <row r="59" customFormat="false" ht="15" hidden="false" customHeight="false" outlineLevel="0" collapsed="false">
      <c r="A59" s="2" t="n">
        <v>58</v>
      </c>
      <c r="B59" s="2" t="n">
        <v>80</v>
      </c>
      <c r="C59" s="2" t="s">
        <v>9</v>
      </c>
      <c r="D59" s="2" t="s">
        <v>10</v>
      </c>
      <c r="E59" s="2" t="s">
        <v>11</v>
      </c>
      <c r="F59" s="2" t="n">
        <v>100</v>
      </c>
    </row>
    <row r="60" customFormat="false" ht="15" hidden="false" customHeight="false" outlineLevel="0" collapsed="false">
      <c r="A60" s="2" t="n">
        <v>59</v>
      </c>
      <c r="B60" s="2" t="n">
        <v>14</v>
      </c>
      <c r="C60" s="2" t="s">
        <v>9</v>
      </c>
      <c r="D60" s="2" t="s">
        <v>15</v>
      </c>
      <c r="E60" s="2" t="s">
        <v>16</v>
      </c>
      <c r="F60" s="2" t="n">
        <v>500</v>
      </c>
    </row>
    <row r="61" customFormat="false" ht="15" hidden="false" customHeight="false" outlineLevel="0" collapsed="false">
      <c r="A61" s="2" t="n">
        <v>60</v>
      </c>
      <c r="B61" s="2" t="n">
        <v>13</v>
      </c>
      <c r="C61" s="2" t="s">
        <v>9</v>
      </c>
      <c r="D61" s="2" t="s">
        <v>10</v>
      </c>
      <c r="E61" s="2" t="s">
        <v>11</v>
      </c>
      <c r="F61" s="2" t="n">
        <v>100</v>
      </c>
    </row>
    <row r="62" customFormat="false" ht="15" hidden="false" customHeight="false" outlineLevel="0" collapsed="false">
      <c r="A62" s="2" t="n">
        <v>40</v>
      </c>
      <c r="B62" s="2" t="n">
        <v>19</v>
      </c>
      <c r="C62" s="2" t="s">
        <v>6</v>
      </c>
      <c r="D62" s="2" t="s">
        <v>25</v>
      </c>
      <c r="E62" s="2" t="s">
        <v>26</v>
      </c>
      <c r="F62" s="2" t="n">
        <v>50</v>
      </c>
    </row>
    <row r="63" customFormat="false" ht="15" hidden="false" customHeight="false" outlineLevel="0" collapsed="false">
      <c r="A63" s="2" t="n">
        <v>42</v>
      </c>
      <c r="B63" s="2" t="n">
        <v>38</v>
      </c>
      <c r="C63" s="2" t="s">
        <v>9</v>
      </c>
      <c r="D63" s="2" t="s">
        <v>15</v>
      </c>
      <c r="E63" s="2" t="s">
        <v>16</v>
      </c>
      <c r="F63" s="2" t="n">
        <v>500</v>
      </c>
    </row>
    <row r="64" customFormat="false" ht="15" hidden="false" customHeight="false" outlineLevel="0" collapsed="false">
      <c r="A64" s="2" t="n">
        <v>3</v>
      </c>
      <c r="B64" s="2" t="n">
        <v>74</v>
      </c>
      <c r="C64" s="2" t="s">
        <v>9</v>
      </c>
      <c r="D64" s="2" t="s">
        <v>7</v>
      </c>
      <c r="E64" s="2" t="s">
        <v>8</v>
      </c>
      <c r="F64" s="2" t="n">
        <v>5</v>
      </c>
    </row>
    <row r="65" customFormat="false" ht="15" hidden="false" customHeight="false" outlineLevel="0" collapsed="false">
      <c r="A65" s="2" t="n">
        <v>49</v>
      </c>
      <c r="B65" s="2" t="n">
        <v>15</v>
      </c>
      <c r="C65" s="2" t="s">
        <v>6</v>
      </c>
      <c r="D65" s="2" t="s">
        <v>7</v>
      </c>
      <c r="E65" s="2" t="s">
        <v>8</v>
      </c>
      <c r="F65" s="2" t="n">
        <v>5</v>
      </c>
    </row>
    <row r="66" customFormat="false" ht="15" hidden="false" customHeight="false" outlineLevel="0" collapsed="false">
      <c r="A66" s="2" t="n">
        <v>51</v>
      </c>
      <c r="B66" s="2" t="n">
        <v>65</v>
      </c>
      <c r="C66" s="2" t="s">
        <v>9</v>
      </c>
      <c r="D66" s="2" t="s">
        <v>20</v>
      </c>
      <c r="E66" s="2" t="s">
        <v>21</v>
      </c>
      <c r="F66" s="2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3" t="s">
        <v>30</v>
      </c>
    </row>
    <row r="3" customFormat="false" ht="15" hidden="false" customHeight="false" outlineLevel="0" collapsed="false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</row>
    <row r="4" customFormat="false" ht="15" hidden="false" customHeight="false" outlineLevel="0" collapsed="false">
      <c r="A4" s="4" t="s">
        <v>0</v>
      </c>
      <c r="B4" s="4" t="s">
        <v>37</v>
      </c>
      <c r="C4" s="4" t="s">
        <v>38</v>
      </c>
      <c r="D4" s="4" t="n">
        <f aca="false">'Raw Data'!A2</f>
        <v>1</v>
      </c>
      <c r="E4" s="4" t="n">
        <f aca="false">COUNTA('Raw Data'!A2:A66)</f>
        <v>65</v>
      </c>
      <c r="F4" s="4" t="n">
        <f aca="false">SUMPRODUCT(('Raw Data'!A2:A66&lt;&gt;"")/COUNTIF('Raw Data'!A2:A66,'Raw Data'!A2:A66&amp;""))</f>
        <v>60</v>
      </c>
    </row>
    <row r="5" customFormat="false" ht="15" hidden="false" customHeight="false" outlineLevel="0" collapsed="false">
      <c r="A5" s="4" t="s">
        <v>1</v>
      </c>
      <c r="B5" s="4" t="s">
        <v>39</v>
      </c>
      <c r="C5" s="4" t="s">
        <v>40</v>
      </c>
      <c r="D5" s="4" t="n">
        <f aca="false">'Raw Data'!B2</f>
        <v>8</v>
      </c>
      <c r="E5" s="4" t="n">
        <f aca="false">COUNTA('Raw Data'!B2:B66)</f>
        <v>61</v>
      </c>
      <c r="F5" s="4" t="n">
        <f aca="false">SUMPRODUCT(('Raw Data'!B2:B66&lt;&gt;"")/COUNTIF('Raw Data'!B2:B66,'Raw Data'!B2:B66&amp;""))</f>
        <v>41</v>
      </c>
    </row>
    <row r="6" customFormat="false" ht="15" hidden="false" customHeight="false" outlineLevel="0" collapsed="false">
      <c r="A6" s="4" t="s">
        <v>2</v>
      </c>
      <c r="B6" s="4" t="s">
        <v>41</v>
      </c>
      <c r="C6" s="4" t="s">
        <v>42</v>
      </c>
      <c r="D6" s="4" t="str">
        <f aca="false">'Raw Data'!C2</f>
        <v>Female</v>
      </c>
      <c r="E6" s="4" t="n">
        <f aca="false">COUNTA('Raw Data'!C2:C66)</f>
        <v>62</v>
      </c>
      <c r="F6" s="4" t="n">
        <f aca="false">SUMPRODUCT(('Raw Data'!C2:C66&lt;&gt;"")/COUNTIF('Raw Data'!C2:C66,'Raw Data'!C2:C66&amp;""))</f>
        <v>4</v>
      </c>
    </row>
    <row r="7" customFormat="false" ht="15" hidden="false" customHeight="false" outlineLevel="0" collapsed="false">
      <c r="A7" s="4" t="s">
        <v>3</v>
      </c>
      <c r="B7" s="4" t="s">
        <v>41</v>
      </c>
      <c r="C7" s="4" t="s">
        <v>43</v>
      </c>
      <c r="D7" s="4" t="str">
        <f aca="false">'Raw Data'!D2</f>
        <v>Hypertension</v>
      </c>
      <c r="E7" s="4" t="n">
        <f aca="false">COUNTA('Raw Data'!D2:D66)</f>
        <v>63</v>
      </c>
      <c r="F7" s="4" t="n">
        <f aca="false">SUMPRODUCT(('Raw Data'!D2:D66&lt;&gt;"")/COUNTIF('Raw Data'!D2:D66,'Raw Data'!D2:D66&amp;""))</f>
        <v>9</v>
      </c>
    </row>
    <row r="8" customFormat="false" ht="15" hidden="false" customHeight="false" outlineLevel="0" collapsed="false">
      <c r="A8" s="4" t="s">
        <v>4</v>
      </c>
      <c r="B8" s="4" t="s">
        <v>41</v>
      </c>
      <c r="C8" s="4" t="s">
        <v>43</v>
      </c>
      <c r="D8" s="4" t="str">
        <f aca="false">'Raw Data'!E2</f>
        <v>Amlodipine</v>
      </c>
      <c r="E8" s="4" t="n">
        <f aca="false">COUNTA('Raw Data'!E2:E66)</f>
        <v>65</v>
      </c>
      <c r="F8" s="4" t="n">
        <f aca="false">SUMPRODUCT(('Raw Data'!E2:E66&lt;&gt;"")/COUNTIF('Raw Data'!E2:E66,'Raw Data'!E2:E66&amp;""))</f>
        <v>9</v>
      </c>
    </row>
    <row r="9" customFormat="false" ht="15" hidden="false" customHeight="false" outlineLevel="0" collapsed="false">
      <c r="A9" s="4" t="s">
        <v>5</v>
      </c>
      <c r="B9" s="4" t="s">
        <v>39</v>
      </c>
      <c r="C9" s="4" t="s">
        <v>44</v>
      </c>
      <c r="D9" s="4" t="n">
        <f aca="false">'Raw Data'!F2</f>
        <v>5</v>
      </c>
      <c r="E9" s="4" t="n">
        <f aca="false">COUNTA('Raw Data'!F2:F66)</f>
        <v>62</v>
      </c>
      <c r="F9" s="4" t="n">
        <f aca="false">SUMPRODUCT(('Raw Data'!F2:F66&lt;&gt;"")/COUNTIF('Raw Data'!F2:F66,'Raw Data'!F2:F66&amp;""))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3" t="s">
        <v>45</v>
      </c>
    </row>
    <row r="3" customFormat="false" ht="15" hidden="false" customHeight="false" outlineLevel="0" collapsed="false">
      <c r="A3" s="1" t="s">
        <v>46</v>
      </c>
      <c r="B3" s="1" t="s">
        <v>47</v>
      </c>
    </row>
    <row r="4" customFormat="false" ht="15" hidden="false" customHeight="false" outlineLevel="0" collapsed="false">
      <c r="A4" s="4" t="s">
        <v>48</v>
      </c>
      <c r="B4" s="4" t="n">
        <f aca="false">COUNTA('Raw Data'!A2:A66)</f>
        <v>65</v>
      </c>
    </row>
    <row r="5" customFormat="false" ht="15" hidden="false" customHeight="false" outlineLevel="0" collapsed="false">
      <c r="A5" s="4" t="s">
        <v>49</v>
      </c>
      <c r="B5" s="4" t="n">
        <f aca="false">COUNTBLANK('Raw Data'!B2:B66)</f>
        <v>4</v>
      </c>
    </row>
    <row r="6" customFormat="false" ht="15" hidden="false" customHeight="false" outlineLevel="0" collapsed="false">
      <c r="A6" s="4" t="s">
        <v>50</v>
      </c>
      <c r="B6" s="4" t="n">
        <f aca="false">COUNTBLANK('Raw Data'!C2:C66)</f>
        <v>3</v>
      </c>
    </row>
    <row r="7" customFormat="false" ht="15" hidden="false" customHeight="false" outlineLevel="0" collapsed="false">
      <c r="A7" s="4" t="s">
        <v>51</v>
      </c>
      <c r="B7" s="4" t="n">
        <f aca="false">COUNTBLANK('Raw Data'!D2:D66)</f>
        <v>2</v>
      </c>
    </row>
    <row r="8" customFormat="false" ht="15" hidden="false" customHeight="false" outlineLevel="0" collapsed="false">
      <c r="A8" s="4" t="s">
        <v>52</v>
      </c>
      <c r="B8" s="4" t="n">
        <f aca="false">COUNTBLANK('Raw Data'!E2:E66)</f>
        <v>0</v>
      </c>
    </row>
    <row r="9" customFormat="false" ht="15" hidden="false" customHeight="false" outlineLevel="0" collapsed="false">
      <c r="A9" s="4" t="s">
        <v>53</v>
      </c>
      <c r="B9" s="4" t="n">
        <f aca="false">COUNTBLANK('Raw Data'!F2:F66)</f>
        <v>3</v>
      </c>
    </row>
    <row r="10" customFormat="false" ht="15" hidden="false" customHeight="false" outlineLevel="0" collapsed="false">
      <c r="A10" s="4" t="s">
        <v>54</v>
      </c>
      <c r="B10" s="4" t="n">
        <f aca="false">B4-SUMPRODUCT(1/COUNTIF('Raw Data'!A2:A66,'Raw Data'!A2:A66))</f>
        <v>5</v>
      </c>
    </row>
    <row r="11" customFormat="false" ht="15" hidden="false" customHeight="false" outlineLevel="0" collapsed="false">
      <c r="A11" s="4" t="s">
        <v>55</v>
      </c>
      <c r="B11" s="4" t="n">
        <f aca="false">COUNTIF('Raw Data'!B2:B66,"&gt;120")+COUNTIF('Raw Data'!B2:B66,"&lt;0")</f>
        <v>1</v>
      </c>
    </row>
    <row r="13" customFormat="false" ht="15" hidden="false" customHeight="false" outlineLevel="0" collapsed="false">
      <c r="A13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3" t="s">
        <v>57</v>
      </c>
    </row>
    <row r="3" customFormat="false" ht="15" hidden="false" customHeight="false" outlineLevel="0" collapsed="false">
      <c r="A3" s="1" t="s">
        <v>58</v>
      </c>
      <c r="B3" s="1" t="s">
        <v>59</v>
      </c>
      <c r="C3" s="1" t="s">
        <v>60</v>
      </c>
      <c r="D3" s="1" t="s">
        <v>61</v>
      </c>
    </row>
    <row r="4" customFormat="false" ht="15" hidden="false" customHeight="false" outlineLevel="0" collapsed="false">
      <c r="A4" s="6" t="n">
        <v>1</v>
      </c>
      <c r="B4" s="6" t="s">
        <v>62</v>
      </c>
      <c r="C4" s="6" t="s">
        <v>63</v>
      </c>
      <c r="D4" s="6" t="s">
        <v>64</v>
      </c>
    </row>
    <row r="5" customFormat="false" ht="26.85" hidden="false" customHeight="false" outlineLevel="0" collapsed="false">
      <c r="A5" s="6" t="n">
        <v>2</v>
      </c>
      <c r="B5" s="6" t="s">
        <v>65</v>
      </c>
      <c r="C5" s="6" t="s">
        <v>66</v>
      </c>
      <c r="D5" s="6" t="s">
        <v>67</v>
      </c>
    </row>
    <row r="6" customFormat="false" ht="26.85" hidden="false" customHeight="false" outlineLevel="0" collapsed="false">
      <c r="A6" s="6" t="n">
        <v>3</v>
      </c>
      <c r="B6" s="6" t="s">
        <v>68</v>
      </c>
      <c r="C6" s="6" t="s">
        <v>69</v>
      </c>
      <c r="D6" s="6" t="s">
        <v>70</v>
      </c>
    </row>
    <row r="7" customFormat="false" ht="15" hidden="false" customHeight="false" outlineLevel="0" collapsed="false">
      <c r="A7" s="6" t="n">
        <v>4</v>
      </c>
      <c r="B7" s="6" t="s">
        <v>71</v>
      </c>
      <c r="C7" s="6" t="s">
        <v>72</v>
      </c>
      <c r="D7" s="6" t="s">
        <v>73</v>
      </c>
    </row>
    <row r="8" customFormat="false" ht="26.85" hidden="false" customHeight="false" outlineLevel="0" collapsed="false">
      <c r="A8" s="6" t="n">
        <v>5</v>
      </c>
      <c r="B8" s="6" t="s">
        <v>49</v>
      </c>
      <c r="C8" s="6" t="s">
        <v>74</v>
      </c>
      <c r="D8" s="6" t="s">
        <v>75</v>
      </c>
    </row>
    <row r="9" customFormat="false" ht="15" hidden="false" customHeight="false" outlineLevel="0" collapsed="false">
      <c r="A9" s="6" t="n">
        <v>6</v>
      </c>
      <c r="B9" s="6" t="s">
        <v>53</v>
      </c>
      <c r="C9" s="6" t="s">
        <v>76</v>
      </c>
      <c r="D9" s="6" t="s">
        <v>77</v>
      </c>
    </row>
    <row r="10" customFormat="false" ht="15" hidden="false" customHeight="false" outlineLevel="0" collapsed="false">
      <c r="A10" s="6" t="n">
        <v>7</v>
      </c>
      <c r="B10" s="6" t="s">
        <v>78</v>
      </c>
      <c r="C10" s="6" t="s">
        <v>79</v>
      </c>
      <c r="D10" s="6" t="s">
        <v>80</v>
      </c>
    </row>
    <row r="12" customFormat="false" ht="15" hidden="false" customHeight="false" outlineLevel="0" collapsed="false">
      <c r="A12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n">
        <v>8</v>
      </c>
      <c r="C2" s="2" t="s">
        <v>6</v>
      </c>
      <c r="D2" s="2" t="s">
        <v>7</v>
      </c>
      <c r="E2" s="2" t="s">
        <v>8</v>
      </c>
      <c r="F2" s="2" t="n">
        <v>5</v>
      </c>
    </row>
    <row r="3" customFormat="false" ht="15" hidden="false" customHeight="false" outlineLevel="0" collapsed="false">
      <c r="A3" s="2" t="n">
        <v>2</v>
      </c>
      <c r="B3" s="2" t="n">
        <v>33</v>
      </c>
      <c r="C3" s="2" t="s">
        <v>9</v>
      </c>
      <c r="D3" s="2" t="s">
        <v>10</v>
      </c>
      <c r="E3" s="2" t="s">
        <v>11</v>
      </c>
      <c r="F3" s="2" t="n">
        <v>100</v>
      </c>
    </row>
    <row r="4" customFormat="false" ht="15" hidden="false" customHeight="false" outlineLevel="0" collapsed="false">
      <c r="A4" s="2" t="n">
        <v>3</v>
      </c>
      <c r="B4" s="2" t="n">
        <v>74</v>
      </c>
      <c r="C4" s="2" t="s">
        <v>9</v>
      </c>
      <c r="D4" s="2" t="s">
        <v>7</v>
      </c>
      <c r="E4" s="2" t="s">
        <v>8</v>
      </c>
      <c r="F4" s="2" t="n">
        <v>5</v>
      </c>
    </row>
    <row r="5" customFormat="false" ht="15" hidden="false" customHeight="false" outlineLevel="0" collapsed="false">
      <c r="A5" s="2" t="n">
        <v>4</v>
      </c>
      <c r="B5" s="2" t="n">
        <v>9</v>
      </c>
      <c r="C5" s="2" t="s">
        <v>9</v>
      </c>
      <c r="D5" s="2" t="s">
        <v>12</v>
      </c>
      <c r="E5" s="2" t="s">
        <v>13</v>
      </c>
      <c r="F5" s="2" t="n">
        <v>10</v>
      </c>
    </row>
    <row r="6" customFormat="false" ht="15" hidden="false" customHeight="false" outlineLevel="0" collapsed="false">
      <c r="A6" s="2" t="n">
        <v>5</v>
      </c>
      <c r="B6" s="2" t="n">
        <v>48</v>
      </c>
      <c r="C6" s="2" t="s">
        <v>9</v>
      </c>
      <c r="D6" s="2" t="s">
        <v>7</v>
      </c>
      <c r="E6" s="2" t="s">
        <v>8</v>
      </c>
      <c r="F6" s="2" t="n">
        <v>5</v>
      </c>
    </row>
    <row r="7" customFormat="false" ht="15" hidden="false" customHeight="false" outlineLevel="0" collapsed="false">
      <c r="A7" s="2" t="n">
        <v>6</v>
      </c>
      <c r="B7" s="2" t="n">
        <v>76</v>
      </c>
      <c r="C7" s="2" t="s">
        <v>6</v>
      </c>
      <c r="D7" s="2" t="s">
        <v>15</v>
      </c>
      <c r="E7" s="2" t="s">
        <v>16</v>
      </c>
      <c r="F7" s="2" t="n">
        <v>500</v>
      </c>
    </row>
    <row r="8" customFormat="false" ht="15" hidden="false" customHeight="false" outlineLevel="0" collapsed="false">
      <c r="A8" s="2" t="n">
        <v>7</v>
      </c>
      <c r="B8" s="2" t="n">
        <v>33</v>
      </c>
      <c r="C8" s="2" t="s">
        <v>6</v>
      </c>
      <c r="D8" s="2" t="s">
        <v>12</v>
      </c>
      <c r="E8" s="2" t="s">
        <v>13</v>
      </c>
      <c r="F8" s="2" t="n">
        <v>10</v>
      </c>
    </row>
    <row r="9" customFormat="false" ht="15" hidden="false" customHeight="false" outlineLevel="0" collapsed="false">
      <c r="A9" s="2" t="n">
        <v>8</v>
      </c>
      <c r="B9" s="2" t="n">
        <v>5</v>
      </c>
      <c r="C9" s="2" t="s">
        <v>9</v>
      </c>
      <c r="D9" s="2" t="s">
        <v>17</v>
      </c>
      <c r="E9" s="2" t="s">
        <v>18</v>
      </c>
      <c r="F9" s="2" t="n">
        <v>400</v>
      </c>
    </row>
    <row r="10" customFormat="false" ht="15" hidden="false" customHeight="false" outlineLevel="0" collapsed="false">
      <c r="A10" s="2" t="n">
        <v>10</v>
      </c>
      <c r="B10" s="2" t="n">
        <v>32</v>
      </c>
      <c r="C10" s="2" t="s">
        <v>9</v>
      </c>
      <c r="D10" s="2" t="s">
        <v>20</v>
      </c>
      <c r="E10" s="2" t="s">
        <v>21</v>
      </c>
      <c r="F10" s="2" t="n">
        <v>500</v>
      </c>
    </row>
    <row r="11" customFormat="false" ht="15" hidden="false" customHeight="false" outlineLevel="0" collapsed="false">
      <c r="A11" s="2" t="n">
        <v>11</v>
      </c>
      <c r="B11" s="2" t="n">
        <v>16</v>
      </c>
      <c r="C11" s="2" t="s">
        <v>6</v>
      </c>
      <c r="D11" s="2" t="s">
        <v>7</v>
      </c>
      <c r="E11" s="2" t="s">
        <v>8</v>
      </c>
      <c r="F11" s="2" t="n">
        <v>5</v>
      </c>
    </row>
    <row r="12" customFormat="false" ht="15" hidden="false" customHeight="false" outlineLevel="0" collapsed="false">
      <c r="A12" s="2" t="n">
        <v>12</v>
      </c>
      <c r="B12" s="2" t="n">
        <v>50</v>
      </c>
      <c r="C12" s="2" t="s">
        <v>6</v>
      </c>
      <c r="D12" s="2" t="s">
        <v>7</v>
      </c>
      <c r="E12" s="2" t="s">
        <v>8</v>
      </c>
      <c r="F12" s="2" t="n">
        <v>5</v>
      </c>
    </row>
    <row r="13" customFormat="false" ht="15" hidden="false" customHeight="false" outlineLevel="0" collapsed="false">
      <c r="A13" s="2" t="n">
        <v>13</v>
      </c>
      <c r="B13" s="2" t="n">
        <v>10</v>
      </c>
      <c r="C13" s="2" t="s">
        <v>6</v>
      </c>
      <c r="D13" s="2" t="s">
        <v>17</v>
      </c>
      <c r="E13" s="2" t="s">
        <v>18</v>
      </c>
      <c r="F13" s="2" t="n">
        <v>400</v>
      </c>
    </row>
    <row r="14" customFormat="false" ht="15" hidden="false" customHeight="false" outlineLevel="0" collapsed="false">
      <c r="A14" s="2" t="n">
        <v>14</v>
      </c>
      <c r="B14" s="2" t="n">
        <v>53</v>
      </c>
      <c r="C14" s="2" t="s">
        <v>9</v>
      </c>
      <c r="D14" s="2" t="s">
        <v>7</v>
      </c>
      <c r="E14" s="2" t="s">
        <v>8</v>
      </c>
      <c r="F14" s="2" t="n">
        <v>5</v>
      </c>
    </row>
    <row r="15" customFormat="false" ht="15" hidden="false" customHeight="false" outlineLevel="0" collapsed="false">
      <c r="A15" s="2" t="n">
        <v>15</v>
      </c>
      <c r="B15" s="2" t="n">
        <v>85</v>
      </c>
      <c r="C15" s="2" t="s">
        <v>6</v>
      </c>
      <c r="D15" s="2" t="s">
        <v>17</v>
      </c>
      <c r="E15" s="2" t="s">
        <v>18</v>
      </c>
      <c r="F15" s="2" t="n">
        <v>400</v>
      </c>
    </row>
    <row r="16" customFormat="false" ht="15" hidden="false" customHeight="false" outlineLevel="0" collapsed="false">
      <c r="A16" s="2" t="n">
        <v>17</v>
      </c>
      <c r="B16" s="2" t="n">
        <v>42</v>
      </c>
      <c r="C16" s="2" t="s">
        <v>9</v>
      </c>
      <c r="D16" s="2" t="s">
        <v>10</v>
      </c>
      <c r="E16" s="2" t="s">
        <v>11</v>
      </c>
      <c r="F16" s="2" t="n">
        <v>100</v>
      </c>
    </row>
    <row r="17" customFormat="false" ht="15" hidden="false" customHeight="false" outlineLevel="0" collapsed="false">
      <c r="A17" s="2" t="n">
        <v>19</v>
      </c>
      <c r="B17" s="2" t="n">
        <v>63</v>
      </c>
      <c r="C17" s="2" t="s">
        <v>6</v>
      </c>
      <c r="D17" s="2" t="s">
        <v>17</v>
      </c>
      <c r="E17" s="2" t="s">
        <v>18</v>
      </c>
      <c r="F17" s="2" t="n">
        <v>400</v>
      </c>
    </row>
    <row r="18" customFormat="false" ht="15" hidden="false" customHeight="false" outlineLevel="0" collapsed="false">
      <c r="A18" s="2" t="n">
        <v>20</v>
      </c>
      <c r="B18" s="2" t="n">
        <v>52</v>
      </c>
      <c r="C18" s="2" t="s">
        <v>6</v>
      </c>
      <c r="D18" s="2" t="s">
        <v>20</v>
      </c>
      <c r="E18" s="2" t="s">
        <v>21</v>
      </c>
      <c r="F18" s="2" t="n">
        <v>500</v>
      </c>
    </row>
    <row r="19" customFormat="false" ht="15" hidden="false" customHeight="false" outlineLevel="0" collapsed="false">
      <c r="A19" s="2" t="n">
        <v>21</v>
      </c>
      <c r="B19" s="2" t="n">
        <v>39</v>
      </c>
      <c r="C19" s="2" t="s">
        <v>9</v>
      </c>
      <c r="D19" s="2" t="s">
        <v>20</v>
      </c>
      <c r="E19" s="2" t="s">
        <v>11</v>
      </c>
      <c r="F19" s="2" t="n">
        <v>100</v>
      </c>
    </row>
    <row r="20" customFormat="false" ht="15" hidden="false" customHeight="false" outlineLevel="0" collapsed="false">
      <c r="A20" s="2" t="n">
        <v>22</v>
      </c>
      <c r="B20" s="2" t="n">
        <v>48</v>
      </c>
      <c r="C20" s="2" t="s">
        <v>9</v>
      </c>
      <c r="D20" s="2" t="s">
        <v>20</v>
      </c>
      <c r="E20" s="2" t="s">
        <v>21</v>
      </c>
      <c r="F20" s="2" t="n">
        <v>500</v>
      </c>
    </row>
    <row r="21" customFormat="false" ht="15" hidden="false" customHeight="false" outlineLevel="0" collapsed="false">
      <c r="A21" s="2" t="n">
        <v>23</v>
      </c>
      <c r="B21" s="2" t="n">
        <v>64</v>
      </c>
      <c r="C21" s="2" t="s">
        <v>6</v>
      </c>
      <c r="D21" s="2" t="s">
        <v>20</v>
      </c>
      <c r="E21" s="2" t="s">
        <v>21</v>
      </c>
      <c r="F21" s="2" t="n">
        <v>500</v>
      </c>
    </row>
    <row r="22" customFormat="false" ht="15" hidden="false" customHeight="false" outlineLevel="0" collapsed="false">
      <c r="A22" s="2" t="n">
        <v>24</v>
      </c>
      <c r="B22" s="2" t="n">
        <v>76</v>
      </c>
      <c r="C22" s="2" t="s">
        <v>9</v>
      </c>
      <c r="D22" s="2" t="s">
        <v>17</v>
      </c>
      <c r="E22" s="2" t="s">
        <v>18</v>
      </c>
      <c r="F22" s="2" t="n">
        <v>400</v>
      </c>
    </row>
    <row r="23" customFormat="false" ht="15" hidden="false" customHeight="false" outlineLevel="0" collapsed="false">
      <c r="A23" s="2" t="n">
        <v>25</v>
      </c>
      <c r="B23" s="2" t="n">
        <v>12</v>
      </c>
      <c r="C23" s="2" t="s">
        <v>9</v>
      </c>
      <c r="D23" s="2" t="s">
        <v>25</v>
      </c>
      <c r="E23" s="2" t="s">
        <v>26</v>
      </c>
      <c r="F23" s="2" t="n">
        <v>50</v>
      </c>
    </row>
    <row r="24" customFormat="false" ht="15" hidden="false" customHeight="false" outlineLevel="0" collapsed="false">
      <c r="A24" s="2" t="n">
        <v>26</v>
      </c>
      <c r="B24" s="2" t="n">
        <v>45</v>
      </c>
      <c r="C24" s="2" t="s">
        <v>6</v>
      </c>
      <c r="D24" s="2" t="s">
        <v>15</v>
      </c>
      <c r="E24" s="2" t="s">
        <v>16</v>
      </c>
      <c r="F24" s="2" t="n">
        <v>500</v>
      </c>
    </row>
    <row r="25" customFormat="false" ht="15" hidden="false" customHeight="false" outlineLevel="0" collapsed="false">
      <c r="A25" s="2" t="n">
        <v>27</v>
      </c>
      <c r="B25" s="2" t="n">
        <v>13</v>
      </c>
      <c r="C25" s="2" t="s">
        <v>9</v>
      </c>
      <c r="D25" s="2" t="s">
        <v>17</v>
      </c>
      <c r="E25" s="2" t="s">
        <v>18</v>
      </c>
      <c r="F25" s="2" t="n">
        <v>400</v>
      </c>
    </row>
    <row r="26" customFormat="false" ht="15" hidden="false" customHeight="false" outlineLevel="0" collapsed="false">
      <c r="A26" s="2" t="n">
        <v>28</v>
      </c>
      <c r="B26" s="2" t="n">
        <v>32</v>
      </c>
      <c r="C26" s="2" t="s">
        <v>6</v>
      </c>
      <c r="D26" s="2" t="s">
        <v>25</v>
      </c>
      <c r="E26" s="2" t="s">
        <v>26</v>
      </c>
      <c r="F26" s="2" t="n">
        <v>50</v>
      </c>
    </row>
    <row r="27" customFormat="false" ht="15" hidden="false" customHeight="false" outlineLevel="0" collapsed="false">
      <c r="A27" s="2" t="n">
        <v>29</v>
      </c>
      <c r="B27" s="2" t="n">
        <v>63</v>
      </c>
      <c r="C27" s="2" t="s">
        <v>9</v>
      </c>
      <c r="D27" s="2" t="s">
        <v>12</v>
      </c>
      <c r="E27" s="2" t="s">
        <v>13</v>
      </c>
      <c r="F27" s="2" t="n">
        <v>10</v>
      </c>
    </row>
    <row r="28" customFormat="false" ht="15" hidden="false" customHeight="false" outlineLevel="0" collapsed="false">
      <c r="A28" s="2" t="n">
        <v>30</v>
      </c>
      <c r="B28" s="2" t="n">
        <v>22</v>
      </c>
      <c r="C28" s="2" t="s">
        <v>9</v>
      </c>
      <c r="D28" s="2" t="s">
        <v>17</v>
      </c>
      <c r="E28" s="2" t="s">
        <v>18</v>
      </c>
      <c r="F28" s="2" t="n">
        <v>400</v>
      </c>
    </row>
    <row r="29" customFormat="false" ht="15" hidden="false" customHeight="false" outlineLevel="0" collapsed="false">
      <c r="A29" s="2" t="n">
        <v>31</v>
      </c>
      <c r="B29" s="2" t="n">
        <v>48</v>
      </c>
      <c r="C29" s="2" t="s">
        <v>6</v>
      </c>
      <c r="D29" s="2" t="s">
        <v>17</v>
      </c>
      <c r="E29" s="2" t="s">
        <v>18</v>
      </c>
      <c r="F29" s="2" t="n">
        <v>400</v>
      </c>
    </row>
    <row r="30" customFormat="false" ht="15" hidden="false" customHeight="false" outlineLevel="0" collapsed="false">
      <c r="A30" s="2" t="n">
        <v>32</v>
      </c>
      <c r="B30" s="2" t="n">
        <v>51</v>
      </c>
      <c r="C30" s="2" t="s">
        <v>9</v>
      </c>
      <c r="D30" s="2" t="s">
        <v>12</v>
      </c>
      <c r="E30" s="2" t="s">
        <v>13</v>
      </c>
      <c r="F30" s="2" t="n">
        <v>10</v>
      </c>
    </row>
    <row r="31" customFormat="false" ht="15" hidden="false" customHeight="false" outlineLevel="0" collapsed="false">
      <c r="A31" s="2" t="n">
        <v>33</v>
      </c>
      <c r="B31" s="2" t="n">
        <v>48</v>
      </c>
      <c r="C31" s="2" t="s">
        <v>6</v>
      </c>
      <c r="D31" s="2" t="s">
        <v>20</v>
      </c>
      <c r="E31" s="2" t="s">
        <v>21</v>
      </c>
      <c r="F31" s="2" t="n">
        <v>500</v>
      </c>
    </row>
    <row r="32" customFormat="false" ht="15" hidden="false" customHeight="false" outlineLevel="0" collapsed="false">
      <c r="A32" s="2" t="n">
        <v>34</v>
      </c>
      <c r="B32" s="2" t="n">
        <v>11</v>
      </c>
      <c r="C32" s="2" t="s">
        <v>9</v>
      </c>
      <c r="D32" s="2" t="s">
        <v>7</v>
      </c>
      <c r="E32" s="2" t="s">
        <v>8</v>
      </c>
      <c r="F32" s="2" t="n">
        <v>5</v>
      </c>
    </row>
    <row r="33" customFormat="false" ht="15" hidden="false" customHeight="false" outlineLevel="0" collapsed="false">
      <c r="A33" s="2" t="n">
        <v>35</v>
      </c>
      <c r="B33" s="2" t="n">
        <v>85</v>
      </c>
      <c r="C33" s="2" t="s">
        <v>9</v>
      </c>
      <c r="D33" s="2" t="s">
        <v>20</v>
      </c>
      <c r="E33" s="2" t="s">
        <v>21</v>
      </c>
      <c r="F33" s="2" t="n">
        <v>500</v>
      </c>
    </row>
    <row r="34" customFormat="false" ht="15" hidden="false" customHeight="false" outlineLevel="0" collapsed="false">
      <c r="A34" s="2" t="n">
        <v>36</v>
      </c>
      <c r="B34" s="2" t="n">
        <v>81</v>
      </c>
      <c r="C34" s="2" t="s">
        <v>9</v>
      </c>
      <c r="D34" s="2" t="s">
        <v>12</v>
      </c>
      <c r="E34" s="2" t="s">
        <v>13</v>
      </c>
      <c r="F34" s="2" t="n">
        <v>10</v>
      </c>
    </row>
    <row r="35" customFormat="false" ht="15" hidden="false" customHeight="false" outlineLevel="0" collapsed="false">
      <c r="A35" s="2" t="n">
        <v>37</v>
      </c>
      <c r="B35" s="2" t="n">
        <v>53</v>
      </c>
      <c r="C35" s="2" t="s">
        <v>6</v>
      </c>
      <c r="D35" s="2" t="s">
        <v>12</v>
      </c>
      <c r="E35" s="2" t="s">
        <v>13</v>
      </c>
      <c r="F35" s="2" t="n">
        <v>10</v>
      </c>
    </row>
    <row r="36" customFormat="false" ht="15" hidden="false" customHeight="false" outlineLevel="0" collapsed="false">
      <c r="A36" s="2" t="n">
        <v>38</v>
      </c>
      <c r="B36" s="2" t="n">
        <v>75</v>
      </c>
      <c r="C36" s="2" t="s">
        <v>9</v>
      </c>
      <c r="D36" s="2" t="s">
        <v>17</v>
      </c>
      <c r="E36" s="2" t="s">
        <v>18</v>
      </c>
      <c r="F36" s="2" t="n">
        <v>400</v>
      </c>
    </row>
    <row r="37" customFormat="false" ht="15" hidden="false" customHeight="false" outlineLevel="0" collapsed="false">
      <c r="A37" s="2" t="n">
        <v>39</v>
      </c>
      <c r="B37" s="2" t="n">
        <v>73</v>
      </c>
      <c r="C37" s="2" t="s">
        <v>6</v>
      </c>
      <c r="D37" s="2" t="s">
        <v>7</v>
      </c>
      <c r="E37" s="2" t="s">
        <v>8</v>
      </c>
      <c r="F37" s="2" t="n">
        <v>5</v>
      </c>
    </row>
    <row r="38" customFormat="false" ht="15" hidden="false" customHeight="false" outlineLevel="0" collapsed="false">
      <c r="A38" s="2" t="n">
        <v>40</v>
      </c>
      <c r="B38" s="2" t="n">
        <v>19</v>
      </c>
      <c r="C38" s="2" t="s">
        <v>6</v>
      </c>
      <c r="D38" s="2" t="s">
        <v>25</v>
      </c>
      <c r="E38" s="2" t="s">
        <v>26</v>
      </c>
      <c r="F38" s="2" t="n">
        <v>50</v>
      </c>
    </row>
    <row r="39" customFormat="false" ht="15" hidden="false" customHeight="false" outlineLevel="0" collapsed="false">
      <c r="A39" s="2" t="n">
        <v>41</v>
      </c>
      <c r="B39" s="2" t="n">
        <v>25</v>
      </c>
      <c r="C39" s="2" t="s">
        <v>6</v>
      </c>
      <c r="D39" s="2" t="s">
        <v>12</v>
      </c>
      <c r="E39" s="2" t="s">
        <v>13</v>
      </c>
      <c r="F39" s="2" t="n">
        <v>10</v>
      </c>
    </row>
    <row r="40" customFormat="false" ht="15" hidden="false" customHeight="false" outlineLevel="0" collapsed="false">
      <c r="A40" s="2" t="n">
        <v>42</v>
      </c>
      <c r="B40" s="2" t="n">
        <v>38</v>
      </c>
      <c r="C40" s="2" t="s">
        <v>9</v>
      </c>
      <c r="D40" s="2" t="s">
        <v>15</v>
      </c>
      <c r="E40" s="2" t="s">
        <v>16</v>
      </c>
      <c r="F40" s="2" t="n">
        <v>500</v>
      </c>
    </row>
    <row r="41" customFormat="false" ht="15" hidden="false" customHeight="false" outlineLevel="0" collapsed="false">
      <c r="A41" s="2" t="n">
        <v>44</v>
      </c>
      <c r="B41" s="2" t="n">
        <v>24</v>
      </c>
      <c r="C41" s="2" t="s">
        <v>6</v>
      </c>
      <c r="D41" s="2" t="s">
        <v>10</v>
      </c>
      <c r="E41" s="2" t="s">
        <v>11</v>
      </c>
      <c r="F41" s="2" t="n">
        <v>100</v>
      </c>
    </row>
    <row r="42" customFormat="false" ht="15" hidden="false" customHeight="false" outlineLevel="0" collapsed="false">
      <c r="A42" s="2" t="n">
        <v>45</v>
      </c>
      <c r="B42" s="2" t="n">
        <v>74</v>
      </c>
      <c r="C42" s="2" t="s">
        <v>9</v>
      </c>
      <c r="D42" s="2" t="s">
        <v>20</v>
      </c>
      <c r="E42" s="2" t="s">
        <v>21</v>
      </c>
      <c r="F42" s="2" t="n">
        <v>500</v>
      </c>
    </row>
    <row r="43" customFormat="false" ht="15" hidden="false" customHeight="false" outlineLevel="0" collapsed="false">
      <c r="A43" s="2" t="n">
        <v>46</v>
      </c>
      <c r="B43" s="2" t="n">
        <v>67</v>
      </c>
      <c r="C43" s="2" t="s">
        <v>9</v>
      </c>
      <c r="D43" s="2" t="s">
        <v>25</v>
      </c>
      <c r="E43" s="2" t="s">
        <v>26</v>
      </c>
      <c r="F43" s="2" t="n">
        <v>50</v>
      </c>
    </row>
    <row r="44" customFormat="false" ht="15" hidden="false" customHeight="false" outlineLevel="0" collapsed="false">
      <c r="A44" s="2" t="n">
        <v>48</v>
      </c>
      <c r="B44" s="2" t="n">
        <v>12</v>
      </c>
      <c r="C44" s="2" t="s">
        <v>9</v>
      </c>
      <c r="D44" s="2" t="s">
        <v>10</v>
      </c>
      <c r="E44" s="2" t="s">
        <v>11</v>
      </c>
      <c r="F44" s="2" t="n">
        <v>100</v>
      </c>
    </row>
    <row r="45" customFormat="false" ht="15" hidden="false" customHeight="false" outlineLevel="0" collapsed="false">
      <c r="A45" s="2" t="n">
        <v>49</v>
      </c>
      <c r="B45" s="2" t="n">
        <v>15</v>
      </c>
      <c r="C45" s="2" t="s">
        <v>6</v>
      </c>
      <c r="D45" s="2" t="s">
        <v>7</v>
      </c>
      <c r="E45" s="2" t="s">
        <v>8</v>
      </c>
      <c r="F45" s="2" t="n">
        <v>5</v>
      </c>
    </row>
    <row r="46" customFormat="false" ht="15" hidden="false" customHeight="false" outlineLevel="0" collapsed="false">
      <c r="A46" s="2" t="n">
        <v>50</v>
      </c>
      <c r="B46" s="2" t="n">
        <v>73</v>
      </c>
      <c r="C46" s="2" t="s">
        <v>9</v>
      </c>
      <c r="D46" s="2" t="s">
        <v>7</v>
      </c>
      <c r="E46" s="2" t="s">
        <v>8</v>
      </c>
      <c r="F46" s="2" t="n">
        <v>5</v>
      </c>
    </row>
    <row r="47" customFormat="false" ht="15" hidden="false" customHeight="false" outlineLevel="0" collapsed="false">
      <c r="A47" s="2" t="n">
        <v>51</v>
      </c>
      <c r="B47" s="2" t="n">
        <v>65</v>
      </c>
      <c r="C47" s="2" t="s">
        <v>9</v>
      </c>
      <c r="D47" s="2" t="s">
        <v>20</v>
      </c>
      <c r="E47" s="2" t="s">
        <v>21</v>
      </c>
      <c r="F47" s="2" t="n">
        <v>500</v>
      </c>
    </row>
    <row r="48" customFormat="false" ht="15" hidden="false" customHeight="false" outlineLevel="0" collapsed="false">
      <c r="A48" s="2" t="n">
        <v>52</v>
      </c>
      <c r="B48" s="2" t="n">
        <v>72</v>
      </c>
      <c r="C48" s="2" t="s">
        <v>6</v>
      </c>
      <c r="D48" s="2" t="s">
        <v>17</v>
      </c>
      <c r="E48" s="2" t="s">
        <v>18</v>
      </c>
      <c r="F48" s="2" t="n">
        <v>400</v>
      </c>
    </row>
    <row r="49" customFormat="false" ht="15" hidden="false" customHeight="false" outlineLevel="0" collapsed="false">
      <c r="A49" s="2" t="n">
        <v>53</v>
      </c>
      <c r="B49" s="2" t="n">
        <v>74</v>
      </c>
      <c r="C49" s="2" t="s">
        <v>9</v>
      </c>
      <c r="D49" s="2" t="s">
        <v>10</v>
      </c>
      <c r="E49" s="2" t="s">
        <v>11</v>
      </c>
      <c r="F49" s="2" t="n">
        <v>100</v>
      </c>
    </row>
    <row r="50" customFormat="false" ht="15" hidden="false" customHeight="false" outlineLevel="0" collapsed="false">
      <c r="A50" s="2" t="n">
        <v>54</v>
      </c>
      <c r="B50" s="2" t="n">
        <v>56</v>
      </c>
      <c r="C50" s="2" t="s">
        <v>6</v>
      </c>
      <c r="D50" s="2" t="s">
        <v>17</v>
      </c>
      <c r="E50" s="2" t="s">
        <v>18</v>
      </c>
      <c r="F50" s="2" t="n">
        <v>400</v>
      </c>
    </row>
    <row r="51" customFormat="false" ht="15" hidden="false" customHeight="false" outlineLevel="0" collapsed="false">
      <c r="A51" s="2" t="n">
        <v>55</v>
      </c>
      <c r="B51" s="2" t="n">
        <v>71</v>
      </c>
      <c r="C51" s="2" t="s">
        <v>6</v>
      </c>
      <c r="D51" s="2" t="s">
        <v>28</v>
      </c>
      <c r="E51" s="2" t="s">
        <v>29</v>
      </c>
      <c r="F51" s="2" t="n">
        <v>500</v>
      </c>
    </row>
    <row r="52" customFormat="false" ht="15" hidden="false" customHeight="false" outlineLevel="0" collapsed="false">
      <c r="A52" s="2" t="n">
        <v>56</v>
      </c>
      <c r="B52" s="2" t="n">
        <v>48</v>
      </c>
      <c r="C52" s="2" t="s">
        <v>9</v>
      </c>
      <c r="D52" s="2" t="s">
        <v>7</v>
      </c>
      <c r="E52" s="2" t="s">
        <v>8</v>
      </c>
      <c r="F52" s="2" t="n">
        <v>5</v>
      </c>
    </row>
    <row r="53" customFormat="false" ht="15" hidden="false" customHeight="false" outlineLevel="0" collapsed="false">
      <c r="A53" s="2" t="n">
        <v>57</v>
      </c>
      <c r="B53" s="2" t="n">
        <v>48</v>
      </c>
      <c r="C53" s="2" t="s">
        <v>9</v>
      </c>
      <c r="D53" s="2" t="s">
        <v>7</v>
      </c>
      <c r="E53" s="2" t="s">
        <v>8</v>
      </c>
      <c r="F53" s="2" t="n">
        <v>5</v>
      </c>
    </row>
    <row r="54" customFormat="false" ht="15" hidden="false" customHeight="false" outlineLevel="0" collapsed="false">
      <c r="A54" s="2" t="n">
        <v>58</v>
      </c>
      <c r="B54" s="2" t="n">
        <v>80</v>
      </c>
      <c r="C54" s="2" t="s">
        <v>9</v>
      </c>
      <c r="D54" s="2" t="s">
        <v>10</v>
      </c>
      <c r="E54" s="2" t="s">
        <v>11</v>
      </c>
      <c r="F54" s="2" t="n">
        <v>100</v>
      </c>
    </row>
    <row r="55" customFormat="false" ht="15" hidden="false" customHeight="false" outlineLevel="0" collapsed="false">
      <c r="A55" s="2" t="n">
        <v>59</v>
      </c>
      <c r="B55" s="2" t="n">
        <v>14</v>
      </c>
      <c r="C55" s="2" t="s">
        <v>9</v>
      </c>
      <c r="D55" s="2" t="s">
        <v>15</v>
      </c>
      <c r="E55" s="2" t="s">
        <v>16</v>
      </c>
      <c r="F55" s="2" t="n">
        <v>500</v>
      </c>
    </row>
    <row r="56" customFormat="false" ht="15" hidden="false" customHeight="false" outlineLevel="0" collapsed="false">
      <c r="A56" s="2" t="n">
        <v>60</v>
      </c>
      <c r="B56" s="2" t="n">
        <v>13</v>
      </c>
      <c r="C56" s="2" t="s">
        <v>9</v>
      </c>
      <c r="D56" s="2" t="s">
        <v>10</v>
      </c>
      <c r="E56" s="2" t="s">
        <v>11</v>
      </c>
      <c r="F56" s="2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3" t="s">
        <v>82</v>
      </c>
    </row>
    <row r="3" customFormat="false" ht="15" hidden="false" customHeight="false" outlineLevel="0" collapsed="false">
      <c r="A3" s="1" t="s">
        <v>83</v>
      </c>
      <c r="B3" s="1" t="s">
        <v>84</v>
      </c>
    </row>
    <row r="4" customFormat="false" ht="15" hidden="false" customHeight="false" outlineLevel="0" collapsed="false">
      <c r="A4" s="4" t="s">
        <v>85</v>
      </c>
      <c r="B4" s="4" t="n">
        <f aca="false">COUNTA('Cleaned Data'!$A$2:$A$56)</f>
        <v>55</v>
      </c>
    </row>
    <row r="5" customFormat="false" ht="15" hidden="false" customHeight="false" outlineLevel="0" collapsed="false">
      <c r="A5" s="4" t="s">
        <v>86</v>
      </c>
      <c r="B5" s="7" t="n">
        <f aca="false">AVERAGE('Cleaned Data'!$B$2:$B$56)</f>
        <v>45.7454545454545</v>
      </c>
    </row>
    <row r="6" customFormat="false" ht="15" hidden="false" customHeight="false" outlineLevel="0" collapsed="false">
      <c r="A6" s="4" t="s">
        <v>87</v>
      </c>
      <c r="B6" s="4" t="n">
        <f aca="false">MIN('Cleaned Data'!$B$2:$B$56)</f>
        <v>5</v>
      </c>
    </row>
    <row r="7" customFormat="false" ht="15" hidden="false" customHeight="false" outlineLevel="0" collapsed="false">
      <c r="A7" s="4" t="s">
        <v>88</v>
      </c>
      <c r="B7" s="4" t="n">
        <f aca="false">MAX('Cleaned Data'!$B$2:$B$56)</f>
        <v>85</v>
      </c>
    </row>
    <row r="8" customFormat="false" ht="15" hidden="false" customHeight="false" outlineLevel="0" collapsed="false">
      <c r="A8" s="4" t="s">
        <v>89</v>
      </c>
      <c r="B8" s="4" t="n">
        <f aca="false">COUNTIF('Cleaned Data'!$C$2:$C$56,"Male")</f>
        <v>32</v>
      </c>
    </row>
    <row r="9" customFormat="false" ht="15" hidden="false" customHeight="false" outlineLevel="0" collapsed="false">
      <c r="A9" s="4" t="s">
        <v>90</v>
      </c>
      <c r="B9" s="4" t="n">
        <f aca="false">COUNTIF('Cleaned Data'!$C$2:$C$56,"Female")</f>
        <v>23</v>
      </c>
    </row>
    <row r="12" customFormat="false" ht="15" hidden="false" customHeight="false" outlineLevel="0" collapsed="false">
      <c r="A12" s="1" t="s">
        <v>3</v>
      </c>
      <c r="B12" s="1" t="s">
        <v>91</v>
      </c>
      <c r="C12" s="1" t="s">
        <v>92</v>
      </c>
      <c r="D12" s="1" t="s">
        <v>93</v>
      </c>
    </row>
    <row r="13" customFormat="false" ht="15" hidden="false" customHeight="false" outlineLevel="0" collapsed="false">
      <c r="A13" s="4" t="s">
        <v>7</v>
      </c>
      <c r="B13" s="4" t="n">
        <f aca="false">COUNTIF('Cleaned Data'!$D$2:$D$56,A13)</f>
        <v>12</v>
      </c>
      <c r="C13" s="8" t="n">
        <f aca="false">B13/$B$4</f>
        <v>0.218181818181818</v>
      </c>
      <c r="D13" s="7" t="n">
        <f aca="false">AVERAGEIF('Cleaned Data'!$D$2:$D$56,A13,'Cleaned Data'!$B$2:$B$56)</f>
        <v>43.0833333333333</v>
      </c>
    </row>
    <row r="14" customFormat="false" ht="15" hidden="false" customHeight="false" outlineLevel="0" collapsed="false">
      <c r="A14" s="4" t="s">
        <v>17</v>
      </c>
      <c r="B14" s="4" t="n">
        <f aca="false">COUNTIF('Cleaned Data'!$D$2:$D$56,A14)</f>
        <v>11</v>
      </c>
      <c r="C14" s="8" t="n">
        <f aca="false">B14/$B$4</f>
        <v>0.2</v>
      </c>
      <c r="D14" s="7" t="n">
        <f aca="false">AVERAGEIF('Cleaned Data'!$D$2:$D$56,A14,'Cleaned Data'!$B$2:$B$56)</f>
        <v>47.7272727272727</v>
      </c>
    </row>
    <row r="15" customFormat="false" ht="15" hidden="false" customHeight="false" outlineLevel="0" collapsed="false">
      <c r="A15" s="4" t="s">
        <v>20</v>
      </c>
      <c r="B15" s="4" t="n">
        <f aca="false">COUNTIF('Cleaned Data'!$D$2:$D$56,A15)</f>
        <v>9</v>
      </c>
      <c r="C15" s="8" t="n">
        <f aca="false">B15/$B$4</f>
        <v>0.163636363636364</v>
      </c>
      <c r="D15" s="7" t="n">
        <f aca="false">AVERAGEIF('Cleaned Data'!$D$2:$D$56,A15,'Cleaned Data'!$B$2:$B$56)</f>
        <v>56.3333333333333</v>
      </c>
    </row>
    <row r="16" customFormat="false" ht="15" hidden="false" customHeight="false" outlineLevel="0" collapsed="false">
      <c r="A16" s="4" t="s">
        <v>10</v>
      </c>
      <c r="B16" s="4" t="n">
        <f aca="false">COUNTIF('Cleaned Data'!$D$2:$D$56,A16)</f>
        <v>7</v>
      </c>
      <c r="C16" s="8" t="n">
        <f aca="false">B16/$B$4</f>
        <v>0.127272727272727</v>
      </c>
      <c r="D16" s="7" t="n">
        <f aca="false">AVERAGEIF('Cleaned Data'!$D$2:$D$56,A16,'Cleaned Data'!$B$2:$B$56)</f>
        <v>39.7142857142857</v>
      </c>
    </row>
    <row r="17" customFormat="false" ht="15" hidden="false" customHeight="false" outlineLevel="0" collapsed="false">
      <c r="A17" s="4" t="s">
        <v>12</v>
      </c>
      <c r="B17" s="4" t="n">
        <f aca="false">COUNTIF('Cleaned Data'!$D$2:$D$56,A17)</f>
        <v>7</v>
      </c>
      <c r="C17" s="8" t="n">
        <f aca="false">B17/$B$4</f>
        <v>0.127272727272727</v>
      </c>
      <c r="D17" s="7" t="n">
        <f aca="false">AVERAGEIF('Cleaned Data'!$D$2:$D$56,A17,'Cleaned Data'!$B$2:$B$56)</f>
        <v>45</v>
      </c>
    </row>
    <row r="18" customFormat="false" ht="15" hidden="false" customHeight="false" outlineLevel="0" collapsed="false">
      <c r="A18" s="4" t="s">
        <v>15</v>
      </c>
      <c r="B18" s="4" t="n">
        <f aca="false">COUNTIF('Cleaned Data'!$D$2:$D$56,A18)</f>
        <v>4</v>
      </c>
      <c r="C18" s="8" t="n">
        <f aca="false">B18/$B$4</f>
        <v>0.0727272727272727</v>
      </c>
      <c r="D18" s="7" t="n">
        <f aca="false">AVERAGEIF('Cleaned Data'!$D$2:$D$56,A18,'Cleaned Data'!$B$2:$B$56)</f>
        <v>43.25</v>
      </c>
    </row>
    <row r="19" customFormat="false" ht="15" hidden="false" customHeight="false" outlineLevel="0" collapsed="false">
      <c r="A19" s="4" t="s">
        <v>25</v>
      </c>
      <c r="B19" s="4" t="n">
        <f aca="false">COUNTIF('Cleaned Data'!$D$2:$D$56,A19)</f>
        <v>4</v>
      </c>
      <c r="C19" s="8" t="n">
        <f aca="false">B19/$B$4</f>
        <v>0.0727272727272727</v>
      </c>
      <c r="D19" s="7" t="n">
        <f aca="false">AVERAGEIF('Cleaned Data'!$D$2:$D$56,A19,'Cleaned Data'!$B$2:$B$56)</f>
        <v>32.5</v>
      </c>
    </row>
    <row r="20" customFormat="false" ht="15" hidden="false" customHeight="false" outlineLevel="0" collapsed="false">
      <c r="A20" s="4" t="s">
        <v>28</v>
      </c>
      <c r="B20" s="4" t="n">
        <f aca="false">COUNTIF('Cleaned Data'!$D$2:$D$56,A20)</f>
        <v>1</v>
      </c>
      <c r="C20" s="8" t="n">
        <f aca="false">B20/$B$4</f>
        <v>0.0181818181818182</v>
      </c>
      <c r="D20" s="7" t="n">
        <f aca="false">AVERAGEIF('Cleaned Data'!$D$2:$D$56,A20,'Cleaned Data'!$B$2:$B$56)</f>
        <v>71</v>
      </c>
    </row>
    <row r="21" customFormat="false" ht="15" hidden="false" customHeight="false" outlineLevel="0" collapsed="false">
      <c r="A21" s="9" t="s">
        <v>94</v>
      </c>
      <c r="B21" s="9" t="n">
        <f aca="false">SUM(B13:B20)</f>
        <v>55</v>
      </c>
    </row>
    <row r="23" customFormat="false" ht="15" hidden="false" customHeight="false" outlineLevel="0" collapsed="false">
      <c r="A23" s="9" t="s">
        <v>95</v>
      </c>
      <c r="B23" s="2" t="str">
        <f aca="false">INDEX(A13:A20,MATCH(MAX(B13:B20),B13:B20,0))</f>
        <v>Hypertension</v>
      </c>
    </row>
    <row r="26" customFormat="false" ht="15" hidden="false" customHeight="false" outlineLevel="0" collapsed="false">
      <c r="A26" s="1" t="s">
        <v>4</v>
      </c>
      <c r="B26" s="1" t="s">
        <v>96</v>
      </c>
      <c r="C26" s="1" t="s">
        <v>97</v>
      </c>
    </row>
    <row r="27" customFormat="false" ht="15" hidden="false" customHeight="false" outlineLevel="0" collapsed="false">
      <c r="A27" s="4" t="s">
        <v>8</v>
      </c>
      <c r="B27" s="4" t="n">
        <f aca="false">COUNTIF('Cleaned Data'!$E$2:$E$56,A27)</f>
        <v>12</v>
      </c>
      <c r="C27" s="7" t="n">
        <f aca="false">AVERAGEIF('Cleaned Data'!$E$2:$E$56,A27,'Cleaned Data'!$F$2:$F$56)</f>
        <v>5</v>
      </c>
    </row>
    <row r="28" customFormat="false" ht="15" hidden="false" customHeight="false" outlineLevel="0" collapsed="false">
      <c r="A28" s="4" t="s">
        <v>18</v>
      </c>
      <c r="B28" s="4" t="n">
        <f aca="false">COUNTIF('Cleaned Data'!$E$2:$E$56,A28)</f>
        <v>11</v>
      </c>
      <c r="C28" s="7" t="n">
        <f aca="false">AVERAGEIF('Cleaned Data'!$E$2:$E$56,A28,'Cleaned Data'!$F$2:$F$56)</f>
        <v>400</v>
      </c>
    </row>
    <row r="29" customFormat="false" ht="15" hidden="false" customHeight="false" outlineLevel="0" collapsed="false">
      <c r="A29" s="4" t="s">
        <v>11</v>
      </c>
      <c r="B29" s="4" t="n">
        <f aca="false">COUNTIF('Cleaned Data'!$E$2:$E$56,A29)</f>
        <v>8</v>
      </c>
      <c r="C29" s="7" t="n">
        <f aca="false">AVERAGEIF('Cleaned Data'!$E$2:$E$56,A29,'Cleaned Data'!$F$2:$F$56)</f>
        <v>100</v>
      </c>
    </row>
    <row r="30" customFormat="false" ht="15" hidden="false" customHeight="false" outlineLevel="0" collapsed="false">
      <c r="A30" s="4" t="s">
        <v>21</v>
      </c>
      <c r="B30" s="4" t="n">
        <f aca="false">COUNTIF('Cleaned Data'!$E$2:$E$56,A30)</f>
        <v>8</v>
      </c>
      <c r="C30" s="7" t="n">
        <f aca="false">AVERAGEIF('Cleaned Data'!$E$2:$E$56,A30,'Cleaned Data'!$F$2:$F$56)</f>
        <v>500</v>
      </c>
    </row>
    <row r="31" customFormat="false" ht="15" hidden="false" customHeight="false" outlineLevel="0" collapsed="false">
      <c r="A31" s="4" t="s">
        <v>13</v>
      </c>
      <c r="B31" s="4" t="n">
        <f aca="false">COUNTIF('Cleaned Data'!$E$2:$E$56,A31)</f>
        <v>7</v>
      </c>
      <c r="C31" s="7" t="n">
        <f aca="false">AVERAGEIF('Cleaned Data'!$E$2:$E$56,A31,'Cleaned Data'!$F$2:$F$56)</f>
        <v>10</v>
      </c>
    </row>
    <row r="32" customFormat="false" ht="15" hidden="false" customHeight="false" outlineLevel="0" collapsed="false">
      <c r="A32" s="4" t="s">
        <v>16</v>
      </c>
      <c r="B32" s="4" t="n">
        <f aca="false">COUNTIF('Cleaned Data'!$E$2:$E$56,A32)</f>
        <v>4</v>
      </c>
      <c r="C32" s="7" t="n">
        <f aca="false">AVERAGEIF('Cleaned Data'!$E$2:$E$56,A32,'Cleaned Data'!$F$2:$F$56)</f>
        <v>500</v>
      </c>
    </row>
    <row r="33" customFormat="false" ht="15" hidden="false" customHeight="false" outlineLevel="0" collapsed="false">
      <c r="A33" s="4" t="s">
        <v>26</v>
      </c>
      <c r="B33" s="4" t="n">
        <f aca="false">COUNTIF('Cleaned Data'!$E$2:$E$56,A33)</f>
        <v>4</v>
      </c>
      <c r="C33" s="7" t="n">
        <f aca="false">AVERAGEIF('Cleaned Data'!$E$2:$E$56,A33,'Cleaned Data'!$F$2:$F$56)</f>
        <v>50</v>
      </c>
    </row>
    <row r="34" customFormat="false" ht="15" hidden="false" customHeight="false" outlineLevel="0" collapsed="false">
      <c r="A34" s="4" t="s">
        <v>29</v>
      </c>
      <c r="B34" s="4" t="n">
        <f aca="false">COUNTIF('Cleaned Data'!$E$2:$E$56,A34)</f>
        <v>1</v>
      </c>
      <c r="C34" s="7" t="n">
        <f aca="false">AVERAGEIF('Cleaned Data'!$E$2:$E$56,A34,'Cleaned Data'!$F$2:$F$56)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2026-10-23T16:19:23Z</dcterms:created>
  <dc:creator>openpyxl</dc:creator>
  <dc:description/>
  <dc:language>en-US</dc:language>
  <cp:lastModifiedBy/>
  <dcterms:modified xsi:type="dcterms:W3CDTF">2026-10-23T16:19:24Z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